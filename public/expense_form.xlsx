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aude\Projects\expense-tracker\public\"/>
    </mc:Choice>
  </mc:AlternateContent>
  <xr:revisionPtr revIDLastSave="0" documentId="13_ncr:1_{06C79B45-88D0-4DC1-9C98-DBBECFCDC427}" xr6:coauthVersionLast="47" xr6:coauthVersionMax="47" xr10:uidLastSave="{00000000-0000-0000-0000-000000000000}"/>
  <workbookProtection workbookPassword="E986" lockStructure="1"/>
  <bookViews>
    <workbookView xWindow="-120" yWindow="-120" windowWidth="29040" windowHeight="15720" tabRatio="634" xr2:uid="{00000000-000D-0000-FFFF-FFFF00000000}"/>
  </bookViews>
  <sheets>
    <sheet name="Summary" sheetId="2" r:id="rId1"/>
    <sheet name="Expenses" sheetId="1" r:id="rId2"/>
    <sheet name="Expenses (2)" sheetId="8" r:id="rId3"/>
    <sheet name="Expenses (3)" sheetId="9" r:id="rId4"/>
    <sheet name="Expenses (4)" sheetId="10" r:id="rId5"/>
    <sheet name="Expenses (5)" sheetId="11" r:id="rId6"/>
    <sheet name="Expenses (6)" sheetId="12" r:id="rId7"/>
  </sheets>
  <definedNames>
    <definedName name="_xlnm.Print_Area" localSheetId="1">Expenses!$A$1:$M$25</definedName>
    <definedName name="_xlnm.Print_Area" localSheetId="2">'Expenses (2)'!$A$1:$M$25</definedName>
    <definedName name="_xlnm.Print_Area" localSheetId="3">'Expenses (3)'!$A$1:$M$26</definedName>
    <definedName name="_xlnm.Print_Area" localSheetId="4">'Expenses (4)'!$A$1:$M$26</definedName>
    <definedName name="_xlnm.Print_Area" localSheetId="5">'Expenses (5)'!$A$1:$M$26</definedName>
    <definedName name="_xlnm.Print_Area" localSheetId="6">'Expenses (6)'!$A$1:$M$26</definedName>
    <definedName name="_xlnm.Print_Area" localSheetId="0">Summary!$A$1:$K$58</definedName>
    <definedName name="_xlnm.Print_Titles" localSheetId="1">Expenses!$1:$8</definedName>
    <definedName name="_xlnm.Print_Titles" localSheetId="2">'Expenses (2)'!$1:$8</definedName>
    <definedName name="_xlnm.Print_Titles" localSheetId="3">'Expenses (3)'!$1:$8</definedName>
    <definedName name="_xlnm.Print_Titles" localSheetId="4">'Expenses (4)'!$1:$8</definedName>
    <definedName name="_xlnm.Print_Titles" localSheetId="5">'Expenses (5)'!$1:$8</definedName>
    <definedName name="_xlnm.Print_Titles" localSheetId="6">'Expenses (6)'!$1:$8</definedName>
    <definedName name="_xlnm.Print_Titles" localSheetId="0">Summary!$1:$16</definedName>
    <definedName name="solver_cvg" localSheetId="0" hidden="1">0.001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Summary!$B$18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  <c r="M10" i="1"/>
  <c r="M11" i="1"/>
  <c r="M12" i="1"/>
  <c r="M13" i="1"/>
  <c r="M14" i="1"/>
  <c r="M15" i="1"/>
  <c r="M16" i="1"/>
  <c r="M17" i="1"/>
  <c r="M18" i="1"/>
  <c r="M19" i="1"/>
  <c r="M20" i="1"/>
  <c r="M21" i="1"/>
  <c r="H3" i="2"/>
  <c r="H7" i="1" l="1"/>
  <c r="L7" i="8" l="1"/>
  <c r="K7" i="8"/>
  <c r="J7" i="8"/>
  <c r="I7" i="8"/>
  <c r="H7" i="8"/>
  <c r="G7" i="8"/>
  <c r="F7" i="8"/>
  <c r="L7" i="9"/>
  <c r="K7" i="9"/>
  <c r="J7" i="9"/>
  <c r="I7" i="9"/>
  <c r="H7" i="9"/>
  <c r="G7" i="9"/>
  <c r="F7" i="9"/>
  <c r="L7" i="10"/>
  <c r="K7" i="10"/>
  <c r="J7" i="10"/>
  <c r="I7" i="10"/>
  <c r="H7" i="10"/>
  <c r="G7" i="10"/>
  <c r="F7" i="10"/>
  <c r="L7" i="11"/>
  <c r="K7" i="11"/>
  <c r="J7" i="11"/>
  <c r="I7" i="11"/>
  <c r="H7" i="11"/>
  <c r="G7" i="11"/>
  <c r="F7" i="11"/>
  <c r="L7" i="12"/>
  <c r="K7" i="12"/>
  <c r="J7" i="12"/>
  <c r="I7" i="12"/>
  <c r="H7" i="12"/>
  <c r="G7" i="12"/>
  <c r="F7" i="12"/>
  <c r="L7" i="1"/>
  <c r="K7" i="1"/>
  <c r="J7" i="1"/>
  <c r="I7" i="1"/>
  <c r="G7" i="1"/>
  <c r="F7" i="1"/>
  <c r="E7" i="8"/>
  <c r="E7" i="9"/>
  <c r="E7" i="10"/>
  <c r="E7" i="11"/>
  <c r="E7" i="12"/>
  <c r="E7" i="1"/>
  <c r="D25" i="1"/>
  <c r="M22" i="1"/>
  <c r="M23" i="1"/>
  <c r="E24" i="1"/>
  <c r="E25" i="1" s="1"/>
  <c r="C17" i="2" s="1"/>
  <c r="K24" i="1"/>
  <c r="K25" i="1" s="1"/>
  <c r="I17" i="2" s="1"/>
  <c r="L24" i="1"/>
  <c r="L25" i="1" s="1"/>
  <c r="J17" i="2" s="1"/>
  <c r="J24" i="1"/>
  <c r="J25" i="1" s="1"/>
  <c r="H17" i="2" s="1"/>
  <c r="I24" i="1"/>
  <c r="I25" i="1" s="1"/>
  <c r="G17" i="2" s="1"/>
  <c r="H24" i="1"/>
  <c r="H25" i="1" s="1"/>
  <c r="F17" i="2" s="1"/>
  <c r="G24" i="1"/>
  <c r="G25" i="1" s="1"/>
  <c r="E17" i="2" s="1"/>
  <c r="F24" i="1"/>
  <c r="F25" i="1" s="1"/>
  <c r="D17" i="2" s="1"/>
  <c r="N24" i="1"/>
  <c r="D25" i="8"/>
  <c r="E24" i="8"/>
  <c r="E25" i="8" s="1"/>
  <c r="C18" i="2" s="1"/>
  <c r="F24" i="8"/>
  <c r="F25" i="8" s="1"/>
  <c r="D18" i="2" s="1"/>
  <c r="G24" i="8"/>
  <c r="G25" i="8" s="1"/>
  <c r="E18" i="2" s="1"/>
  <c r="H24" i="8"/>
  <c r="H25" i="8" s="1"/>
  <c r="F18" i="2" s="1"/>
  <c r="I24" i="8"/>
  <c r="I25" i="8" s="1"/>
  <c r="G18" i="2" s="1"/>
  <c r="K24" i="8"/>
  <c r="K25" i="8" s="1"/>
  <c r="I18" i="2" s="1"/>
  <c r="M10" i="8"/>
  <c r="M9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L24" i="8"/>
  <c r="L25" i="8"/>
  <c r="J18" i="2" s="1"/>
  <c r="J24" i="8"/>
  <c r="J25" i="8" s="1"/>
  <c r="H18" i="2" s="1"/>
  <c r="N24" i="8"/>
  <c r="D25" i="9"/>
  <c r="K24" i="9"/>
  <c r="K25" i="9" s="1"/>
  <c r="I19" i="2" s="1"/>
  <c r="M10" i="9"/>
  <c r="M9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L24" i="9"/>
  <c r="L25" i="9" s="1"/>
  <c r="J19" i="2" s="1"/>
  <c r="J24" i="9"/>
  <c r="J25" i="9" s="1"/>
  <c r="H19" i="2" s="1"/>
  <c r="I24" i="9"/>
  <c r="I25" i="9" s="1"/>
  <c r="G19" i="2" s="1"/>
  <c r="H24" i="9"/>
  <c r="H25" i="9" s="1"/>
  <c r="F19" i="2" s="1"/>
  <c r="G24" i="9"/>
  <c r="G25" i="9" s="1"/>
  <c r="E19" i="2" s="1"/>
  <c r="F24" i="9"/>
  <c r="F25" i="9" s="1"/>
  <c r="D19" i="2" s="1"/>
  <c r="E24" i="9"/>
  <c r="E25" i="9" s="1"/>
  <c r="C19" i="2" s="1"/>
  <c r="N24" i="9"/>
  <c r="D25" i="10"/>
  <c r="K24" i="10"/>
  <c r="K25" i="10" s="1"/>
  <c r="I20" i="2" s="1"/>
  <c r="M10" i="10"/>
  <c r="M9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L24" i="10"/>
  <c r="L25" i="10" s="1"/>
  <c r="J20" i="2" s="1"/>
  <c r="J24" i="10"/>
  <c r="J25" i="10" s="1"/>
  <c r="H20" i="2" s="1"/>
  <c r="I24" i="10"/>
  <c r="I25" i="10" s="1"/>
  <c r="G20" i="2" s="1"/>
  <c r="H24" i="10"/>
  <c r="H25" i="10" s="1"/>
  <c r="F20" i="2" s="1"/>
  <c r="G24" i="10"/>
  <c r="G25" i="10"/>
  <c r="E20" i="2" s="1"/>
  <c r="F24" i="10"/>
  <c r="F25" i="10" s="1"/>
  <c r="D20" i="2" s="1"/>
  <c r="E24" i="10"/>
  <c r="E25" i="10" s="1"/>
  <c r="C20" i="2" s="1"/>
  <c r="N24" i="10"/>
  <c r="D25" i="11"/>
  <c r="H24" i="11"/>
  <c r="H25" i="11"/>
  <c r="F21" i="2" s="1"/>
  <c r="G24" i="11"/>
  <c r="G25" i="11" s="1"/>
  <c r="E21" i="2" s="1"/>
  <c r="F24" i="11"/>
  <c r="F25" i="11" s="1"/>
  <c r="D21" i="2" s="1"/>
  <c r="K24" i="11"/>
  <c r="K25" i="11" s="1"/>
  <c r="I21" i="2" s="1"/>
  <c r="M10" i="11"/>
  <c r="M9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L24" i="11"/>
  <c r="L25" i="11" s="1"/>
  <c r="J21" i="2" s="1"/>
  <c r="J24" i="11"/>
  <c r="J25" i="11" s="1"/>
  <c r="H21" i="2" s="1"/>
  <c r="I24" i="11"/>
  <c r="I25" i="11" s="1"/>
  <c r="G21" i="2" s="1"/>
  <c r="E24" i="11"/>
  <c r="E25" i="11" s="1"/>
  <c r="C21" i="2" s="1"/>
  <c r="N24" i="11"/>
  <c r="D25" i="12"/>
  <c r="K24" i="12"/>
  <c r="K25" i="12" s="1"/>
  <c r="I22" i="2" s="1"/>
  <c r="M10" i="12"/>
  <c r="M9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L24" i="12"/>
  <c r="L25" i="12" s="1"/>
  <c r="J22" i="2" s="1"/>
  <c r="J24" i="12"/>
  <c r="J25" i="12"/>
  <c r="H22" i="2" s="1"/>
  <c r="I24" i="12"/>
  <c r="I25" i="12" s="1"/>
  <c r="G22" i="2" s="1"/>
  <c r="H24" i="12"/>
  <c r="H25" i="12" s="1"/>
  <c r="F22" i="2" s="1"/>
  <c r="G24" i="12"/>
  <c r="G25" i="12"/>
  <c r="E22" i="2" s="1"/>
  <c r="F24" i="12"/>
  <c r="F25" i="12" s="1"/>
  <c r="D22" i="2" s="1"/>
  <c r="E24" i="12"/>
  <c r="E25" i="12" s="1"/>
  <c r="C22" i="2" s="1"/>
  <c r="N24" i="12"/>
  <c r="B23" i="2"/>
  <c r="K16" i="2"/>
  <c r="J16" i="2"/>
  <c r="I16" i="2"/>
  <c r="H16" i="2"/>
  <c r="G16" i="2"/>
  <c r="F16" i="2"/>
  <c r="E16" i="2"/>
  <c r="D16" i="2"/>
  <c r="C16" i="2"/>
  <c r="B22" i="2"/>
  <c r="B21" i="2"/>
  <c r="B20" i="2"/>
  <c r="B19" i="2"/>
  <c r="B18" i="2"/>
  <c r="B17" i="2"/>
  <c r="F23" i="2" l="1"/>
  <c r="I23" i="2"/>
  <c r="D23" i="2"/>
  <c r="M24" i="11"/>
  <c r="M25" i="11" s="1"/>
  <c r="K21" i="2" s="1"/>
  <c r="M24" i="12"/>
  <c r="M25" i="12" s="1"/>
  <c r="K22" i="2" s="1"/>
  <c r="M24" i="8"/>
  <c r="M25" i="8" s="1"/>
  <c r="K18" i="2" s="1"/>
  <c r="M24" i="10"/>
  <c r="M25" i="10" s="1"/>
  <c r="K20" i="2" s="1"/>
  <c r="M24" i="9"/>
  <c r="M25" i="9" s="1"/>
  <c r="K19" i="2" s="1"/>
  <c r="E23" i="2"/>
  <c r="M24" i="1"/>
  <c r="M25" i="1" s="1"/>
  <c r="K17" i="2" s="1"/>
  <c r="H23" i="2"/>
  <c r="C23" i="2"/>
  <c r="J23" i="2"/>
  <c r="G23" i="2"/>
  <c r="K23" i="2" l="1"/>
  <c r="K28" i="2" s="1"/>
  <c r="K30" i="2" l="1"/>
</calcChain>
</file>

<file path=xl/sharedStrings.xml><?xml version="1.0" encoding="utf-8"?>
<sst xmlns="http://schemas.openxmlformats.org/spreadsheetml/2006/main" count="239" uniqueCount="82">
  <si>
    <t>EXPENSE REPORT DETAIL</t>
  </si>
  <si>
    <t>Name:</t>
  </si>
  <si>
    <t>Date</t>
  </si>
  <si>
    <t>Location</t>
  </si>
  <si>
    <t>Other</t>
  </si>
  <si>
    <t>Total</t>
  </si>
  <si>
    <t>BUSINESS PURPOSE &amp; DETAILS</t>
  </si>
  <si>
    <t>(A)</t>
  </si>
  <si>
    <t>(B)</t>
  </si>
  <si>
    <t>(C)</t>
  </si>
  <si>
    <t>(D)</t>
  </si>
  <si>
    <t xml:space="preserve">(E) </t>
  </si>
  <si>
    <t>(F)</t>
  </si>
  <si>
    <t>(G)</t>
  </si>
  <si>
    <t>EXPENSE REPORT SUMMARY</t>
  </si>
  <si>
    <t>NAME:</t>
  </si>
  <si>
    <t>TOTALS</t>
  </si>
  <si>
    <t>FROM</t>
  </si>
  <si>
    <t>PAGE</t>
  </si>
  <si>
    <t>CODE</t>
  </si>
  <si>
    <t>DECLARATION</t>
  </si>
  <si>
    <t xml:space="preserve">   __________________________________________</t>
  </si>
  <si>
    <t>_______________________</t>
  </si>
  <si>
    <t>(date)</t>
  </si>
  <si>
    <t>APPROVAL</t>
  </si>
  <si>
    <t xml:space="preserve">   </t>
  </si>
  <si>
    <t>MISSING RECEIPTS</t>
  </si>
  <si>
    <t>Receipt No.</t>
  </si>
  <si>
    <t>Hotel / Lodging</t>
  </si>
  <si>
    <t>(H)</t>
  </si>
  <si>
    <t>(A thru H)</t>
  </si>
  <si>
    <t>Currency Incurred :</t>
  </si>
  <si>
    <t>Page</t>
  </si>
  <si>
    <t>Base Currency</t>
  </si>
  <si>
    <t>(A to H)</t>
  </si>
  <si>
    <t xml:space="preserve">Air Fares   </t>
  </si>
  <si>
    <t>or</t>
  </si>
  <si>
    <t>(Employee's signature)</t>
  </si>
  <si>
    <t>(Approver's signature)</t>
  </si>
  <si>
    <t>Bal. due to Employee</t>
  </si>
  <si>
    <t>Date From:</t>
  </si>
  <si>
    <t>Date to :</t>
  </si>
  <si>
    <t>Client Entertainment</t>
  </si>
  <si>
    <t>(APPROVER'S NAME - BLOCK CAPITALS)</t>
  </si>
  <si>
    <t>The expenses on this report are a bona fide and necessary operating expenditure properly supported by original documentation and properly incurred in</t>
  </si>
  <si>
    <t xml:space="preserve"> (Nature of expenditure, Guest names, Company Affiliations, etc)                                                                          Please attach further details on separate sheet if necessary</t>
  </si>
  <si>
    <t>CURRENCY TO BE REIMBURSED IN:</t>
  </si>
  <si>
    <t xml:space="preserve">Total </t>
  </si>
  <si>
    <t xml:space="preserve">FX Rate : </t>
  </si>
  <si>
    <t>TOTAL</t>
  </si>
  <si>
    <t>Deduct : Balance of cash advances o/s (€, £, $ xx)</t>
  </si>
  <si>
    <t>expenses claimed</t>
  </si>
  <si>
    <t xml:space="preserve">Reports prepared incorrectly or with inadequate </t>
  </si>
  <si>
    <t>supporting documentation will be returned unprocessed.</t>
  </si>
  <si>
    <t xml:space="preserve">There are items over €19.00 or equivalent NOT supported by ORIGINAL receipts. The Approvers attention has been drawn to these items and the explanation has </t>
  </si>
  <si>
    <t>been accepted. Where a receipt is missing for an item in excess of €63.50 or equivalent an explanatory memo is enclosed.</t>
  </si>
  <si>
    <t>XEU</t>
  </si>
  <si>
    <t>Working Meals (Internal Staff)</t>
  </si>
  <si>
    <t>Marketing Related/Client travel</t>
  </si>
  <si>
    <t>PM travel supporting Sales</t>
  </si>
  <si>
    <t>Bal. due to Amundi</t>
  </si>
  <si>
    <t>accordance with Amundi Ireland Limited Business &amp; Travel Expense Policy.</t>
  </si>
  <si>
    <t xml:space="preserve">I have reviewed this report for adherence to the Travel Expense Policy of Amundi Ireland Limited. and approve the reimbursement of the </t>
  </si>
  <si>
    <t>Only original receipts accepted. Credit Card receipts or statements cannot be used in lieu of original receipts.</t>
  </si>
  <si>
    <t>Taxis/Rail &amp; Bus/Car Hire/Mileage</t>
  </si>
  <si>
    <t>Business Purpose of Travel</t>
  </si>
  <si>
    <t>Kevin Breen</t>
  </si>
  <si>
    <t>Paris</t>
  </si>
  <si>
    <t>Dublin</t>
  </si>
  <si>
    <t>Euro</t>
  </si>
  <si>
    <t>Taxi - Dublin Airport to home</t>
  </si>
  <si>
    <t>In person team meetings</t>
  </si>
  <si>
    <t>Vueling - Dublin to France</t>
  </si>
  <si>
    <t>Mercure Paris Notre Dame</t>
  </si>
  <si>
    <t>Dublin Airport Food</t>
  </si>
  <si>
    <t>Dinner - Boulom with Riccardo Monzani, Jerome Esnee, Franck Dequeeker, Roy Chrabieh, Jean-David N'Diaye, Franck Wetie,  Herve Yesilyurt</t>
  </si>
  <si>
    <t>Metro Paris</t>
  </si>
  <si>
    <t>Metro Paris to CDG</t>
  </si>
  <si>
    <t>Food CDG Airport</t>
  </si>
  <si>
    <t>Air France - CDG to DUB</t>
  </si>
  <si>
    <t>Air France - CDG to DUB - seat assignment</t>
  </si>
  <si>
    <t>Ted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</si>
</sst>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;\-&quot;£&quot;#,##0.00"/>
    <numFmt numFmtId="165" formatCode="#,##0.00;[Red]\(#,##0.00\)"/>
    <numFmt numFmtId="166" formatCode="[$-1809]dd\ mmmm\ yyyy;@"/>
  </numFmts>
  <fonts count="30">
    <font>
      <sz val="10"/>
      <name val="MS Sans Serif"/>
    </font>
    <font>
      <sz val="10"/>
      <name val="MS Sans Serif"/>
      <family val="2"/>
    </font>
    <font>
      <sz val="8"/>
      <name val="MS Sans Serif"/>
      <family val="2"/>
    </font>
    <font>
      <b/>
      <sz val="12"/>
      <name val="MS Sans Serif"/>
      <family val="2"/>
    </font>
    <font>
      <b/>
      <sz val="18"/>
      <name val="Times New Roman"/>
      <family val="1"/>
    </font>
    <font>
      <b/>
      <sz val="14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sz val="8.5"/>
      <name val="MS Sans Serif"/>
      <family val="2"/>
    </font>
    <font>
      <sz val="12"/>
      <name val="MS Sans Serif"/>
      <family val="2"/>
    </font>
    <font>
      <sz val="10"/>
      <name val="MS Sans Serif"/>
      <family val="2"/>
    </font>
    <font>
      <sz val="13.5"/>
      <name val="MS Sans Serif"/>
      <family val="2"/>
    </font>
    <font>
      <sz val="18"/>
      <name val="MS Sans Serif"/>
      <family val="2"/>
    </font>
    <font>
      <b/>
      <sz val="18"/>
      <name val="MS Sans Serif"/>
      <family val="2"/>
    </font>
    <font>
      <b/>
      <sz val="13.5"/>
      <name val="MS Sans Serif"/>
      <family val="2"/>
    </font>
    <font>
      <sz val="8"/>
      <name val="MS Sans Serif"/>
      <family val="2"/>
    </font>
    <font>
      <b/>
      <sz val="8.5"/>
      <name val="MS Sans Serif"/>
      <family val="2"/>
    </font>
    <font>
      <b/>
      <sz val="10"/>
      <name val="MS Sans Serif"/>
      <family val="2"/>
    </font>
    <font>
      <b/>
      <sz val="8"/>
      <name val="MS Sans Serif"/>
      <family val="2"/>
    </font>
    <font>
      <b/>
      <sz val="10.8"/>
      <name val="MS Sans Serif"/>
      <family val="2"/>
    </font>
    <font>
      <sz val="72"/>
      <color indexed="8"/>
      <name val="Pioneer Investments"/>
      <family val="1"/>
      <charset val="2"/>
    </font>
    <font>
      <sz val="72"/>
      <color indexed="8"/>
      <name val="MS Sans Serif"/>
      <family val="2"/>
    </font>
    <font>
      <b/>
      <sz val="17.5"/>
      <name val="MS Sans Serif"/>
      <family val="2"/>
    </font>
    <font>
      <sz val="18"/>
      <color rgb="FFFF0000"/>
      <name val="MS Sans Serif"/>
      <family val="2"/>
    </font>
    <font>
      <b/>
      <sz val="18"/>
      <color rgb="FFFF0000"/>
      <name val="MS Sans Serif"/>
      <family val="2"/>
    </font>
    <font>
      <sz val="11"/>
      <name val="MS Sans Serif"/>
    </font>
    <font>
      <b/>
      <sz val="12"/>
      <color theme="0"/>
      <name val="MS Sans Serif"/>
    </font>
    <font>
      <b/>
      <sz val="10"/>
      <color theme="0"/>
      <name val="MS Sans Serif"/>
      <family val="2"/>
    </font>
    <font>
      <b/>
      <sz val="13.5"/>
      <name val="MS Sans Serif"/>
    </font>
    <font>
      <b/>
      <sz val="12"/>
      <name val="MS Sans Serif"/>
    </font>
  </fonts>
  <fills count="5">
    <fill>
      <patternFill patternType="none"/>
    </fill>
    <fill>
      <patternFill patternType="gray125"/>
    </fill>
    <fill>
      <patternFill patternType="lightUp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</fills>
  <borders count="4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0" fontId="1" fillId="0" borderId="0" applyFont="0" applyFill="0" applyBorder="0" applyAlignment="0" applyProtection="0"/>
  </cellStyleXfs>
  <cellXfs count="21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4" fontId="2" fillId="0" borderId="0" xfId="0" applyNumberFormat="1" applyFont="1"/>
    <xf numFmtId="0" fontId="0" fillId="0" borderId="3" xfId="0" applyBorder="1"/>
    <xf numFmtId="0" fontId="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4" fillId="0" borderId="0" xfId="0" applyFont="1" applyAlignment="1">
      <alignment horizontal="centerContinuous"/>
    </xf>
    <xf numFmtId="4" fontId="3" fillId="0" borderId="0" xfId="0" applyNumberFormat="1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4" fontId="2" fillId="0" borderId="0" xfId="0" applyNumberFormat="1" applyFont="1" applyAlignment="1">
      <alignment vertical="top"/>
    </xf>
    <xf numFmtId="0" fontId="0" fillId="0" borderId="4" xfId="0" applyBorder="1"/>
    <xf numFmtId="0" fontId="0" fillId="0" borderId="5" xfId="0" applyBorder="1"/>
    <xf numFmtId="0" fontId="8" fillId="0" borderId="6" xfId="0" applyFont="1" applyBorder="1" applyAlignment="1">
      <alignment vertical="center"/>
    </xf>
    <xf numFmtId="4" fontId="15" fillId="0" borderId="7" xfId="0" applyNumberFormat="1" applyFont="1" applyBorder="1" applyAlignment="1">
      <alignment vertical="top"/>
    </xf>
    <xf numFmtId="4" fontId="3" fillId="0" borderId="3" xfId="0" applyNumberFormat="1" applyFont="1" applyBorder="1"/>
    <xf numFmtId="4" fontId="2" fillId="0" borderId="3" xfId="0" applyNumberFormat="1" applyFont="1" applyBorder="1" applyAlignment="1">
      <alignment vertical="top"/>
    </xf>
    <xf numFmtId="0" fontId="2" fillId="0" borderId="3" xfId="0" applyFont="1" applyBorder="1"/>
    <xf numFmtId="4" fontId="3" fillId="0" borderId="8" xfId="0" applyNumberFormat="1" applyFont="1" applyBorder="1" applyAlignment="1">
      <alignment horizontal="left"/>
    </xf>
    <xf numFmtId="4" fontId="3" fillId="0" borderId="8" xfId="0" applyNumberFormat="1" applyFont="1" applyBorder="1"/>
    <xf numFmtId="4" fontId="3" fillId="0" borderId="4" xfId="0" applyNumberFormat="1" applyFont="1" applyBorder="1"/>
    <xf numFmtId="0" fontId="2" fillId="0" borderId="4" xfId="0" applyFont="1" applyBorder="1"/>
    <xf numFmtId="4" fontId="2" fillId="0" borderId="6" xfId="0" applyNumberFormat="1" applyFont="1" applyBorder="1"/>
    <xf numFmtId="4" fontId="15" fillId="0" borderId="6" xfId="0" applyNumberFormat="1" applyFont="1" applyBorder="1" applyAlignment="1">
      <alignment vertical="top"/>
    </xf>
    <xf numFmtId="4" fontId="9" fillId="0" borderId="0" xfId="0" applyNumberFormat="1" applyFont="1"/>
    <xf numFmtId="4" fontId="16" fillId="0" borderId="0" xfId="0" applyNumberFormat="1" applyFont="1"/>
    <xf numFmtId="4" fontId="10" fillId="0" borderId="8" xfId="0" applyNumberFormat="1" applyFont="1" applyBorder="1"/>
    <xf numFmtId="4" fontId="8" fillId="0" borderId="6" xfId="0" applyNumberFormat="1" applyFont="1" applyBorder="1"/>
    <xf numFmtId="4" fontId="8" fillId="0" borderId="7" xfId="0" applyNumberFormat="1" applyFont="1" applyBorder="1"/>
    <xf numFmtId="0" fontId="0" fillId="0" borderId="6" xfId="0" applyBorder="1"/>
    <xf numFmtId="0" fontId="2" fillId="0" borderId="6" xfId="0" applyFont="1" applyBorder="1"/>
    <xf numFmtId="0" fontId="3" fillId="0" borderId="8" xfId="0" applyFont="1" applyBorder="1"/>
    <xf numFmtId="0" fontId="8" fillId="0" borderId="6" xfId="0" applyFont="1" applyBorder="1"/>
    <xf numFmtId="0" fontId="8" fillId="0" borderId="9" xfId="0" applyFont="1" applyBorder="1"/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8" xfId="0" applyBorder="1" applyAlignment="1">
      <alignment horizontal="centerContinuous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0" fillId="0" borderId="6" xfId="0" applyBorder="1" applyAlignment="1">
      <alignment horizontal="centerContinuous"/>
    </xf>
    <xf numFmtId="0" fontId="0" fillId="0" borderId="7" xfId="0" applyBorder="1"/>
    <xf numFmtId="0" fontId="9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right" vertical="center"/>
    </xf>
    <xf numFmtId="0" fontId="9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left"/>
    </xf>
    <xf numFmtId="4" fontId="15" fillId="0" borderId="3" xfId="0" applyNumberFormat="1" applyFont="1" applyBorder="1" applyAlignment="1">
      <alignment vertical="top"/>
    </xf>
    <xf numFmtId="4" fontId="8" fillId="0" borderId="0" xfId="0" applyNumberFormat="1" applyFont="1"/>
    <xf numFmtId="4" fontId="15" fillId="0" borderId="0" xfId="0" applyNumberFormat="1" applyFont="1" applyAlignment="1">
      <alignment vertical="top"/>
    </xf>
    <xf numFmtId="0" fontId="3" fillId="0" borderId="4" xfId="0" applyFont="1" applyBorder="1"/>
    <xf numFmtId="0" fontId="9" fillId="0" borderId="4" xfId="0" applyFont="1" applyBorder="1" applyAlignment="1">
      <alignment horizontal="right" vertical="center"/>
    </xf>
    <xf numFmtId="4" fontId="9" fillId="0" borderId="5" xfId="0" applyNumberFormat="1" applyFont="1" applyBorder="1" applyAlignment="1">
      <alignment horizontal="right" vertical="center"/>
    </xf>
    <xf numFmtId="4" fontId="9" fillId="0" borderId="10" xfId="0" applyNumberFormat="1" applyFont="1" applyBorder="1" applyAlignment="1">
      <alignment horizontal="right" vertical="center"/>
    </xf>
    <xf numFmtId="0" fontId="0" fillId="0" borderId="5" xfId="0" applyBorder="1" applyAlignment="1">
      <alignment horizontal="centerContinuous"/>
    </xf>
    <xf numFmtId="0" fontId="0" fillId="0" borderId="9" xfId="0" applyBorder="1" applyAlignment="1">
      <alignment horizontal="centerContinuous"/>
    </xf>
    <xf numFmtId="0" fontId="0" fillId="0" borderId="10" xfId="0" applyBorder="1"/>
    <xf numFmtId="0" fontId="9" fillId="0" borderId="0" xfId="0" applyFont="1" applyAlignment="1">
      <alignment horizontal="right" vertical="center"/>
    </xf>
    <xf numFmtId="4" fontId="10" fillId="0" borderId="4" xfId="0" applyNumberFormat="1" applyFont="1" applyBorder="1" applyAlignment="1">
      <alignment horizontal="right"/>
    </xf>
    <xf numFmtId="4" fontId="16" fillId="0" borderId="3" xfId="0" applyNumberFormat="1" applyFont="1" applyBorder="1"/>
    <xf numFmtId="0" fontId="12" fillId="0" borderId="15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9" fillId="2" borderId="18" xfId="0" applyFont="1" applyFill="1" applyBorder="1" applyAlignment="1">
      <alignment horizontal="right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right" vertical="center"/>
    </xf>
    <xf numFmtId="0" fontId="0" fillId="0" borderId="9" xfId="0" applyBorder="1"/>
    <xf numFmtId="0" fontId="2" fillId="0" borderId="5" xfId="0" applyFont="1" applyBorder="1"/>
    <xf numFmtId="4" fontId="19" fillId="0" borderId="3" xfId="0" applyNumberFormat="1" applyFont="1" applyBorder="1"/>
    <xf numFmtId="0" fontId="19" fillId="0" borderId="3" xfId="0" applyFont="1" applyBorder="1"/>
    <xf numFmtId="0" fontId="4" fillId="0" borderId="0" xfId="0" applyFont="1"/>
    <xf numFmtId="0" fontId="17" fillId="0" borderId="0" xfId="0" applyFont="1"/>
    <xf numFmtId="0" fontId="0" fillId="0" borderId="20" xfId="0" applyBorder="1"/>
    <xf numFmtId="0" fontId="17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2" xfId="0" applyBorder="1"/>
    <xf numFmtId="0" fontId="17" fillId="0" borderId="22" xfId="0" applyFont="1" applyBorder="1" applyAlignment="1">
      <alignment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64" fontId="2" fillId="0" borderId="2" xfId="0" applyNumberFormat="1" applyFont="1" applyBorder="1" applyAlignment="1">
      <alignment horizontal="center" vertical="top"/>
    </xf>
    <xf numFmtId="4" fontId="7" fillId="0" borderId="18" xfId="0" applyNumberFormat="1" applyFont="1" applyBorder="1" applyAlignment="1">
      <alignment horizontal="center" vertical="top" wrapText="1"/>
    </xf>
    <xf numFmtId="164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0" fillId="0" borderId="23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 wrapText="1"/>
    </xf>
    <xf numFmtId="4" fontId="2" fillId="0" borderId="19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17" fillId="0" borderId="24" xfId="0" applyNumberFormat="1" applyFont="1" applyBorder="1"/>
    <xf numFmtId="4" fontId="10" fillId="0" borderId="1" xfId="0" applyNumberFormat="1" applyFont="1" applyBorder="1" applyAlignment="1">
      <alignment vertical="center"/>
    </xf>
    <xf numFmtId="0" fontId="10" fillId="0" borderId="13" xfId="0" applyFont="1" applyBorder="1"/>
    <xf numFmtId="4" fontId="10" fillId="0" borderId="20" xfId="0" applyNumberFormat="1" applyFont="1" applyBorder="1" applyAlignment="1">
      <alignment horizontal="right" vertical="center"/>
    </xf>
    <xf numFmtId="40" fontId="2" fillId="0" borderId="0" xfId="1" applyFont="1" applyBorder="1" applyProtection="1"/>
    <xf numFmtId="4" fontId="17" fillId="0" borderId="21" xfId="0" applyNumberFormat="1" applyFont="1" applyBorder="1" applyAlignment="1">
      <alignment vertical="center"/>
    </xf>
    <xf numFmtId="0" fontId="17" fillId="0" borderId="25" xfId="0" applyFont="1" applyBorder="1"/>
    <xf numFmtId="4" fontId="17" fillId="0" borderId="26" xfId="0" applyNumberFormat="1" applyFont="1" applyBorder="1" applyAlignment="1">
      <alignment horizontal="right" vertical="center"/>
    </xf>
    <xf numFmtId="40" fontId="18" fillId="0" borderId="0" xfId="1" applyFont="1" applyBorder="1" applyProtection="1"/>
    <xf numFmtId="0" fontId="18" fillId="0" borderId="0" xfId="0" applyFont="1"/>
    <xf numFmtId="164" fontId="12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vertical="center"/>
    </xf>
    <xf numFmtId="164" fontId="7" fillId="0" borderId="0" xfId="0" applyNumberFormat="1" applyFont="1"/>
    <xf numFmtId="4" fontId="7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left" vertical="center" textRotation="255"/>
    </xf>
    <xf numFmtId="164" fontId="10" fillId="0" borderId="0" xfId="0" applyNumberFormat="1" applyFont="1"/>
    <xf numFmtId="4" fontId="0" fillId="0" borderId="0" xfId="0" applyNumberFormat="1"/>
    <xf numFmtId="164" fontId="0" fillId="0" borderId="0" xfId="0" applyNumberFormat="1"/>
    <xf numFmtId="0" fontId="10" fillId="0" borderId="1" xfId="0" applyFont="1" applyBorder="1" applyAlignment="1" applyProtection="1">
      <alignment horizontal="center"/>
      <protection locked="0"/>
    </xf>
    <xf numFmtId="15" fontId="10" fillId="0" borderId="1" xfId="0" applyNumberFormat="1" applyFont="1" applyBorder="1" applyProtection="1">
      <protection locked="0"/>
    </xf>
    <xf numFmtId="15" fontId="10" fillId="0" borderId="13" xfId="0" applyNumberFormat="1" applyFont="1" applyBorder="1" applyProtection="1">
      <protection locked="0"/>
    </xf>
    <xf numFmtId="0" fontId="10" fillId="0" borderId="27" xfId="0" applyFont="1" applyBorder="1" applyProtection="1">
      <protection locked="0"/>
    </xf>
    <xf numFmtId="165" fontId="10" fillId="0" borderId="28" xfId="0" applyNumberFormat="1" applyFont="1" applyBorder="1" applyProtection="1">
      <protection locked="0"/>
    </xf>
    <xf numFmtId="165" fontId="10" fillId="0" borderId="1" xfId="0" applyNumberFormat="1" applyFont="1" applyBorder="1" applyProtection="1">
      <protection locked="0"/>
    </xf>
    <xf numFmtId="14" fontId="10" fillId="0" borderId="1" xfId="0" applyNumberFormat="1" applyFont="1" applyBorder="1" applyAlignment="1" applyProtection="1">
      <alignment horizontal="center"/>
      <protection locked="0"/>
    </xf>
    <xf numFmtId="0" fontId="2" fillId="0" borderId="14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/>
    </xf>
    <xf numFmtId="15" fontId="0" fillId="0" borderId="0" xfId="0" applyNumberFormat="1" applyAlignment="1">
      <alignment horizontal="right" vertical="center"/>
    </xf>
    <xf numFmtId="4" fontId="9" fillId="0" borderId="20" xfId="0" applyNumberFormat="1" applyFont="1" applyBorder="1" applyAlignment="1">
      <alignment horizontal="right" vertical="center"/>
    </xf>
    <xf numFmtId="0" fontId="6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30" xfId="0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5" xfId="0" applyBorder="1" applyAlignment="1">
      <alignment horizontal="right" vertical="center"/>
    </xf>
    <xf numFmtId="0" fontId="0" fillId="0" borderId="31" xfId="0" applyBorder="1" applyAlignment="1">
      <alignment horizontal="left" vertical="center"/>
    </xf>
    <xf numFmtId="4" fontId="17" fillId="0" borderId="21" xfId="0" applyNumberFormat="1" applyFont="1" applyBorder="1" applyAlignment="1">
      <alignment horizontal="right" vertical="top" wrapText="1"/>
    </xf>
    <xf numFmtId="0" fontId="17" fillId="0" borderId="21" xfId="0" applyFont="1" applyBorder="1" applyAlignment="1">
      <alignment horizontal="right" vertical="top"/>
    </xf>
    <xf numFmtId="4" fontId="17" fillId="0" borderId="32" xfId="0" applyNumberFormat="1" applyFont="1" applyBorder="1" applyAlignment="1">
      <alignment horizontal="left" vertical="top" wrapText="1"/>
    </xf>
    <xf numFmtId="0" fontId="17" fillId="0" borderId="22" xfId="0" applyFont="1" applyBorder="1" applyAlignment="1">
      <alignment horizontal="left" vertical="top"/>
    </xf>
    <xf numFmtId="4" fontId="17" fillId="0" borderId="6" xfId="0" applyNumberFormat="1" applyFont="1" applyBorder="1"/>
    <xf numFmtId="4" fontId="17" fillId="0" borderId="7" xfId="0" applyNumberFormat="1" applyFont="1" applyBorder="1"/>
    <xf numFmtId="4" fontId="17" fillId="0" borderId="0" xfId="0" applyNumberFormat="1" applyFont="1"/>
    <xf numFmtId="0" fontId="17" fillId="0" borderId="9" xfId="0" applyFont="1" applyBorder="1"/>
    <xf numFmtId="4" fontId="17" fillId="0" borderId="3" xfId="0" applyNumberFormat="1" applyFont="1" applyBorder="1"/>
    <xf numFmtId="0" fontId="17" fillId="0" borderId="3" xfId="0" applyFont="1" applyBorder="1"/>
    <xf numFmtId="0" fontId="17" fillId="0" borderId="10" xfId="0" applyFont="1" applyBorder="1"/>
    <xf numFmtId="0" fontId="22" fillId="0" borderId="0" xfId="0" applyFont="1" applyAlignment="1" applyProtection="1">
      <alignment horizontal="center"/>
      <protection locked="0"/>
    </xf>
    <xf numFmtId="40" fontId="9" fillId="0" borderId="20" xfId="1" applyFont="1" applyBorder="1" applyAlignment="1" applyProtection="1">
      <alignment horizontal="right" vertical="center"/>
    </xf>
    <xf numFmtId="40" fontId="7" fillId="0" borderId="33" xfId="1" applyFont="1" applyBorder="1"/>
    <xf numFmtId="40" fontId="2" fillId="0" borderId="34" xfId="1" applyFont="1" applyBorder="1"/>
    <xf numFmtId="40" fontId="2" fillId="0" borderId="35" xfId="1" applyFont="1" applyBorder="1"/>
    <xf numFmtId="4" fontId="1" fillId="0" borderId="6" xfId="0" applyNumberFormat="1" applyFont="1" applyBorder="1"/>
    <xf numFmtId="164" fontId="2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0" fillId="0" borderId="39" xfId="0" applyBorder="1"/>
    <xf numFmtId="0" fontId="0" fillId="0" borderId="38" xfId="0" applyBorder="1" applyProtection="1">
      <protection locked="0"/>
    </xf>
    <xf numFmtId="0" fontId="28" fillId="0" borderId="21" xfId="0" applyFont="1" applyBorder="1" applyAlignment="1" applyProtection="1">
      <alignment horizontal="left" vertical="center"/>
      <protection locked="0"/>
    </xf>
    <xf numFmtId="40" fontId="7" fillId="0" borderId="20" xfId="1" applyFont="1" applyFill="1" applyBorder="1" applyProtection="1">
      <protection locked="0"/>
    </xf>
    <xf numFmtId="0" fontId="25" fillId="4" borderId="44" xfId="0" applyFont="1" applyFill="1" applyBorder="1" applyProtection="1">
      <protection locked="0"/>
    </xf>
    <xf numFmtId="0" fontId="25" fillId="4" borderId="43" xfId="0" applyFont="1" applyFill="1" applyBorder="1" applyProtection="1">
      <protection locked="0"/>
    </xf>
    <xf numFmtId="0" fontId="27" fillId="3" borderId="19" xfId="0" applyFont="1" applyFill="1" applyBorder="1" applyAlignment="1" applyProtection="1">
      <alignment horizontal="center" vertical="center" wrapText="1"/>
      <protection locked="0"/>
    </xf>
    <xf numFmtId="0" fontId="7" fillId="0" borderId="47" xfId="0" applyFont="1" applyBorder="1" applyAlignment="1">
      <alignment horizontal="center"/>
    </xf>
    <xf numFmtId="40" fontId="7" fillId="0" borderId="47" xfId="1" applyFont="1" applyBorder="1" applyAlignment="1" applyProtection="1">
      <alignment horizontal="center"/>
    </xf>
    <xf numFmtId="40" fontId="7" fillId="0" borderId="47" xfId="1" applyFont="1" applyBorder="1" applyProtection="1"/>
    <xf numFmtId="0" fontId="7" fillId="0" borderId="45" xfId="0" applyFont="1" applyBorder="1" applyAlignment="1">
      <alignment horizontal="center"/>
    </xf>
    <xf numFmtId="40" fontId="7" fillId="0" borderId="45" xfId="1" applyFont="1" applyBorder="1" applyAlignment="1" applyProtection="1">
      <alignment horizontal="center"/>
    </xf>
    <xf numFmtId="40" fontId="7" fillId="0" borderId="45" xfId="1" applyFont="1" applyBorder="1" applyProtection="1"/>
    <xf numFmtId="0" fontId="2" fillId="0" borderId="11" xfId="0" applyFont="1" applyBorder="1" applyAlignment="1">
      <alignment horizontal="left" vertical="top" wrapText="1"/>
    </xf>
    <xf numFmtId="0" fontId="2" fillId="0" borderId="30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30" xfId="0" applyFont="1" applyBorder="1" applyAlignment="1">
      <alignment horizontal="center"/>
    </xf>
    <xf numFmtId="0" fontId="18" fillId="0" borderId="12" xfId="0" applyFont="1" applyBorder="1" applyAlignment="1">
      <alignment horizontal="center" vertical="top" wrapText="1"/>
    </xf>
    <xf numFmtId="0" fontId="2" fillId="0" borderId="30" xfId="0" applyFont="1" applyBorder="1" applyAlignment="1">
      <alignment horizontal="center" wrapText="1"/>
    </xf>
    <xf numFmtId="0" fontId="0" fillId="0" borderId="28" xfId="0" applyBorder="1" applyAlignment="1" applyProtection="1">
      <alignment vertical="center"/>
      <protection locked="0"/>
    </xf>
    <xf numFmtId="0" fontId="0" fillId="0" borderId="46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wrapText="1"/>
      <protection locked="0"/>
    </xf>
    <xf numFmtId="0" fontId="0" fillId="0" borderId="48" xfId="0" applyBorder="1" applyAlignment="1" applyProtection="1">
      <alignment wrapText="1"/>
      <protection locked="0"/>
    </xf>
    <xf numFmtId="15" fontId="1" fillId="0" borderId="13" xfId="0" applyNumberFormat="1" applyFont="1" applyBorder="1" applyProtection="1">
      <protection locked="0"/>
    </xf>
    <xf numFmtId="0" fontId="1" fillId="0" borderId="27" xfId="0" applyFont="1" applyBorder="1" applyProtection="1">
      <protection locked="0"/>
    </xf>
    <xf numFmtId="0" fontId="1" fillId="0" borderId="27" xfId="0" applyFont="1" applyBorder="1" applyAlignment="1" applyProtection="1">
      <alignment wrapText="1"/>
      <protection locked="0"/>
    </xf>
    <xf numFmtId="2" fontId="10" fillId="0" borderId="28" xfId="0" applyNumberFormat="1" applyFont="1" applyBorder="1" applyProtection="1">
      <protection locked="0"/>
    </xf>
    <xf numFmtId="2" fontId="10" fillId="0" borderId="1" xfId="0" applyNumberFormat="1" applyFont="1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13" fillId="0" borderId="0" xfId="0" applyFont="1" applyAlignment="1">
      <alignment horizontal="center"/>
    </xf>
    <xf numFmtId="0" fontId="25" fillId="4" borderId="40" xfId="0" applyFont="1" applyFill="1" applyBorder="1" applyAlignment="1" applyProtection="1">
      <alignment horizontal="center"/>
      <protection locked="0"/>
    </xf>
    <xf numFmtId="0" fontId="25" fillId="4" borderId="42" xfId="0" applyFont="1" applyFill="1" applyBorder="1" applyAlignment="1" applyProtection="1">
      <alignment horizontal="center"/>
      <protection locked="0"/>
    </xf>
    <xf numFmtId="4" fontId="10" fillId="0" borderId="36" xfId="0" applyNumberFormat="1" applyFont="1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4" fontId="10" fillId="0" borderId="7" xfId="0" applyNumberFormat="1" applyFont="1" applyBorder="1" applyAlignment="1">
      <alignment horizontal="center"/>
    </xf>
    <xf numFmtId="4" fontId="10" fillId="0" borderId="3" xfId="0" applyNumberFormat="1" applyFont="1" applyBorder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/>
    <xf numFmtId="0" fontId="11" fillId="0" borderId="0" xfId="0" applyFont="1" applyAlignment="1" applyProtection="1">
      <alignment horizontal="left" vertical="top" wrapText="1"/>
      <protection locked="0"/>
    </xf>
    <xf numFmtId="0" fontId="11" fillId="0" borderId="34" xfId="0" applyFont="1" applyBorder="1" applyAlignment="1" applyProtection="1">
      <alignment horizontal="left" vertical="top" wrapText="1"/>
      <protection locked="0"/>
    </xf>
    <xf numFmtId="0" fontId="25" fillId="4" borderId="40" xfId="0" applyFont="1" applyFill="1" applyBorder="1" applyAlignment="1" applyProtection="1">
      <alignment horizontal="left"/>
      <protection locked="0"/>
    </xf>
    <xf numFmtId="0" fontId="13" fillId="4" borderId="41" xfId="0" applyFont="1" applyFill="1" applyBorder="1" applyAlignment="1" applyProtection="1">
      <alignment horizontal="left"/>
      <protection locked="0"/>
    </xf>
    <xf numFmtId="0" fontId="13" fillId="4" borderId="42" xfId="0" applyFont="1" applyFill="1" applyBorder="1" applyAlignment="1" applyProtection="1">
      <alignment horizontal="left"/>
      <protection locked="0"/>
    </xf>
    <xf numFmtId="0" fontId="26" fillId="3" borderId="0" xfId="0" applyFont="1" applyFill="1" applyAlignment="1" applyProtection="1">
      <alignment horizontal="center" vertical="center"/>
      <protection locked="0"/>
    </xf>
    <xf numFmtId="166" fontId="25" fillId="4" borderId="40" xfId="0" applyNumberFormat="1" applyFont="1" applyFill="1" applyBorder="1" applyAlignment="1" applyProtection="1">
      <alignment horizontal="left"/>
      <protection locked="0"/>
    </xf>
    <xf numFmtId="166" fontId="13" fillId="4" borderId="41" xfId="0" applyNumberFormat="1" applyFont="1" applyFill="1" applyBorder="1" applyAlignment="1" applyProtection="1">
      <alignment horizontal="left"/>
      <protection locked="0"/>
    </xf>
    <xf numFmtId="166" fontId="13" fillId="4" borderId="42" xfId="0" applyNumberFormat="1" applyFont="1" applyFill="1" applyBorder="1" applyAlignment="1" applyProtection="1">
      <alignment horizontal="left"/>
      <protection locked="0"/>
    </xf>
    <xf numFmtId="0" fontId="25" fillId="4" borderId="41" xfId="0" applyFont="1" applyFill="1" applyBorder="1" applyAlignment="1" applyProtection="1">
      <alignment horizontal="center"/>
      <protection locked="0"/>
    </xf>
    <xf numFmtId="0" fontId="29" fillId="0" borderId="0" xfId="0" applyFont="1" applyAlignment="1" applyProtection="1">
      <alignment horizontal="center" vertical="center" wrapText="1"/>
      <protection locked="0"/>
    </xf>
  </cellXfs>
  <cellStyles count="2">
    <cellStyle name="Comma" xfId="1" builtinId="3"/>
    <cellStyle name="Normal" xfId="0" builtinId="0"/>
  </cellStyles>
  <dxfs count="2"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381000</xdr:colOff>
      <xdr:row>5</xdr:row>
      <xdr:rowOff>38100</xdr:rowOff>
    </xdr:to>
    <xdr:pic>
      <xdr:nvPicPr>
        <xdr:cNvPr id="1027" name="Image 9" descr="Description : Description : Amundi_compact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575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547689</xdr:colOff>
      <xdr:row>4</xdr:row>
      <xdr:rowOff>23810</xdr:rowOff>
    </xdr:from>
    <xdr:to>
      <xdr:col>10</xdr:col>
      <xdr:colOff>702472</xdr:colOff>
      <xdr:row>7</xdr:row>
      <xdr:rowOff>238128</xdr:rowOff>
    </xdr:to>
    <xdr:cxnSp macro="">
      <xdr:nvCxnSpPr>
        <xdr:cNvPr id="3" name="Elb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rot="5400000">
          <a:off x="8024812" y="1297781"/>
          <a:ext cx="845349" cy="154783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9"/>
  <sheetViews>
    <sheetView showGridLines="0" showZeros="0" tabSelected="1" zoomScale="80" zoomScaleNormal="80" workbookViewId="0">
      <selection activeCell="F27" sqref="F27"/>
    </sheetView>
  </sheetViews>
  <sheetFormatPr defaultRowHeight="12.75"/>
  <cols>
    <col min="1" max="2" width="9.5703125" style="2" customWidth="1"/>
    <col min="3" max="5" width="12" customWidth="1"/>
    <col min="6" max="6" width="14.28515625" customWidth="1"/>
    <col min="7" max="11" width="12" customWidth="1"/>
    <col min="12" max="12" width="5" customWidth="1"/>
  </cols>
  <sheetData>
    <row r="1" spans="1:12" ht="19.5">
      <c r="A1" s="198"/>
      <c r="B1" s="199"/>
      <c r="C1" s="199"/>
      <c r="D1" s="199"/>
      <c r="E1" s="200"/>
      <c r="H1" s="8"/>
      <c r="K1" s="130"/>
    </row>
    <row r="2" spans="1:12" ht="19.5">
      <c r="A2" s="199"/>
      <c r="B2" s="199"/>
      <c r="C2" s="199"/>
      <c r="D2" s="199"/>
      <c r="E2" s="200"/>
      <c r="H2" s="6"/>
      <c r="K2" s="7"/>
    </row>
    <row r="3" spans="1:12" ht="19.5" customHeight="1">
      <c r="A3" s="199"/>
      <c r="B3" s="199"/>
      <c r="C3" s="199"/>
      <c r="D3" s="199"/>
      <c r="E3" s="200"/>
      <c r="H3" s="211" t="str">
        <f>IF(H10=0,"Do not send until business purpose completed", "OK TO SEND")</f>
        <v>OK TO SEND</v>
      </c>
      <c r="I3" s="211"/>
      <c r="J3" s="211"/>
      <c r="K3" s="211"/>
    </row>
    <row r="4" spans="1:12" ht="12.75" customHeight="1">
      <c r="A4" s="199"/>
      <c r="B4" s="199"/>
      <c r="C4" s="199"/>
      <c r="D4" s="199"/>
      <c r="E4" s="200"/>
      <c r="H4" s="211"/>
      <c r="I4" s="211"/>
      <c r="J4" s="211"/>
      <c r="K4" s="211"/>
    </row>
    <row r="5" spans="1:12">
      <c r="A5" s="199"/>
      <c r="B5" s="199"/>
      <c r="C5" s="199"/>
      <c r="D5" s="199"/>
      <c r="E5" s="200"/>
    </row>
    <row r="7" spans="1:12" ht="23.25">
      <c r="A7" s="191" t="s">
        <v>14</v>
      </c>
      <c r="B7" s="191"/>
      <c r="C7" s="191"/>
      <c r="D7" s="191"/>
      <c r="E7" s="191"/>
      <c r="F7" s="191"/>
      <c r="G7" s="191"/>
      <c r="H7" s="191"/>
      <c r="I7" s="191"/>
      <c r="J7" s="191"/>
      <c r="K7" s="191"/>
    </row>
    <row r="8" spans="1:12" ht="24" thickBot="1">
      <c r="A8" s="159"/>
      <c r="B8" s="159"/>
      <c r="C8" s="159"/>
      <c r="D8" s="160"/>
      <c r="E8" s="160"/>
      <c r="F8" s="160"/>
      <c r="G8" s="160"/>
      <c r="H8" s="160"/>
      <c r="I8" s="159"/>
      <c r="J8" s="159"/>
      <c r="K8" s="159"/>
    </row>
    <row r="9" spans="1:12" ht="24" thickBot="1">
      <c r="A9" s="132" t="s">
        <v>40</v>
      </c>
      <c r="B9" s="133"/>
      <c r="C9" s="207">
        <v>46062</v>
      </c>
      <c r="D9" s="208"/>
      <c r="E9" s="208"/>
      <c r="F9" s="209"/>
      <c r="G9" s="152"/>
      <c r="H9" s="206" t="s">
        <v>65</v>
      </c>
      <c r="I9" s="206"/>
      <c r="J9" s="206"/>
      <c r="K9" s="206"/>
    </row>
    <row r="10" spans="1:12" ht="24" thickBot="1">
      <c r="A10" s="190" t="s">
        <v>41</v>
      </c>
      <c r="B10" s="133"/>
      <c r="C10" s="207">
        <v>46064</v>
      </c>
      <c r="D10" s="208"/>
      <c r="E10" s="208"/>
      <c r="F10" s="209"/>
      <c r="G10" s="152"/>
      <c r="H10" s="203" t="s">
        <v>71</v>
      </c>
      <c r="I10" s="204"/>
      <c r="J10" s="204"/>
      <c r="K10" s="205"/>
      <c r="L10" s="161"/>
    </row>
    <row r="11" spans="1:12" ht="13.5" thickBot="1">
      <c r="A11" s="135"/>
      <c r="B11" s="135"/>
      <c r="C11" s="134"/>
      <c r="D11" s="134"/>
      <c r="E11" s="134"/>
      <c r="F11" s="134"/>
      <c r="G11" s="134"/>
      <c r="H11" s="134"/>
      <c r="I11" s="134"/>
      <c r="J11" s="162"/>
      <c r="K11" s="162"/>
    </row>
    <row r="12" spans="1:12" s="10" customFormat="1" ht="20.100000000000001" customHeight="1" thickBot="1">
      <c r="A12" s="163" t="s">
        <v>15</v>
      </c>
      <c r="B12" s="192" t="s">
        <v>81</v>
      </c>
      <c r="C12" s="210"/>
      <c r="D12" s="210"/>
      <c r="E12" s="210"/>
      <c r="F12" s="210"/>
      <c r="G12" s="193"/>
      <c r="H12" s="181"/>
      <c r="I12" s="181"/>
      <c r="J12" s="181"/>
      <c r="K12" s="182"/>
    </row>
    <row r="13" spans="1:12" s="138" customFormat="1" ht="19.5">
      <c r="A13" s="201" t="s">
        <v>46</v>
      </c>
      <c r="B13" s="201"/>
      <c r="C13" s="201"/>
      <c r="D13" s="201"/>
      <c r="E13" s="201"/>
      <c r="F13" s="202"/>
      <c r="G13" s="167" t="s">
        <v>56</v>
      </c>
      <c r="H13" s="183"/>
      <c r="I13" s="183"/>
      <c r="J13" s="183"/>
      <c r="K13" s="184"/>
    </row>
    <row r="14" spans="1:12" ht="39.75" customHeight="1">
      <c r="A14" s="174" t="s">
        <v>16</v>
      </c>
      <c r="B14" s="177" t="s">
        <v>33</v>
      </c>
      <c r="C14" s="177" t="s">
        <v>35</v>
      </c>
      <c r="D14" s="177" t="s">
        <v>28</v>
      </c>
      <c r="E14" s="177" t="s">
        <v>57</v>
      </c>
      <c r="F14" s="177" t="s">
        <v>64</v>
      </c>
      <c r="G14" s="177" t="s">
        <v>42</v>
      </c>
      <c r="H14" s="177" t="s">
        <v>58</v>
      </c>
      <c r="I14" s="177" t="s">
        <v>59</v>
      </c>
      <c r="J14" s="177" t="s">
        <v>4</v>
      </c>
      <c r="K14" s="177" t="s">
        <v>47</v>
      </c>
    </row>
    <row r="15" spans="1:12" ht="14.25" customHeight="1">
      <c r="A15" s="175" t="s">
        <v>17</v>
      </c>
      <c r="B15" s="175"/>
      <c r="C15" s="178" t="s">
        <v>7</v>
      </c>
      <c r="D15" s="178" t="s">
        <v>8</v>
      </c>
      <c r="E15" s="178" t="s">
        <v>9</v>
      </c>
      <c r="F15" s="178" t="s">
        <v>10</v>
      </c>
      <c r="G15" s="180" t="s">
        <v>11</v>
      </c>
      <c r="H15" s="178" t="s">
        <v>12</v>
      </c>
      <c r="I15" s="178" t="s">
        <v>13</v>
      </c>
      <c r="J15" s="178" t="s">
        <v>29</v>
      </c>
      <c r="K15" s="178" t="s">
        <v>34</v>
      </c>
    </row>
    <row r="16" spans="1:12" ht="14.25" customHeight="1">
      <c r="A16" s="176" t="s">
        <v>18</v>
      </c>
      <c r="B16" s="176"/>
      <c r="C16" s="179" t="str">
        <f>G13</f>
        <v>XEU</v>
      </c>
      <c r="D16" s="179" t="str">
        <f>G13</f>
        <v>XEU</v>
      </c>
      <c r="E16" s="179" t="str">
        <f>G13</f>
        <v>XEU</v>
      </c>
      <c r="F16" s="179" t="str">
        <f>G13</f>
        <v>XEU</v>
      </c>
      <c r="G16" s="179" t="str">
        <f>G13</f>
        <v>XEU</v>
      </c>
      <c r="H16" s="179" t="str">
        <f>G13</f>
        <v>XEU</v>
      </c>
      <c r="I16" s="179" t="str">
        <f>G13</f>
        <v>XEU</v>
      </c>
      <c r="J16" s="179" t="str">
        <f>G13</f>
        <v>XEU</v>
      </c>
      <c r="K16" s="179" t="str">
        <f>G13</f>
        <v>XEU</v>
      </c>
    </row>
    <row r="17" spans="1:12" s="1" customFormat="1" ht="30" customHeight="1">
      <c r="A17" s="168">
        <v>1</v>
      </c>
      <c r="B17" s="169" t="str">
        <f>IF(Expenses!$J$6&lt;&gt;0,Expenses!$J$6,"")</f>
        <v>Euro</v>
      </c>
      <c r="C17" s="170">
        <f>Expenses!E25</f>
        <v>401.15000000000003</v>
      </c>
      <c r="D17" s="170">
        <f>Expenses!F25</f>
        <v>589.6</v>
      </c>
      <c r="E17" s="170">
        <f>Expenses!G25</f>
        <v>331.46999999999997</v>
      </c>
      <c r="F17" s="170">
        <f>Expenses!H25</f>
        <v>93.5</v>
      </c>
      <c r="G17" s="170">
        <f>Expenses!I25</f>
        <v>0</v>
      </c>
      <c r="H17" s="170">
        <f>Expenses!J25</f>
        <v>0</v>
      </c>
      <c r="I17" s="170">
        <f>Expenses!K25</f>
        <v>0</v>
      </c>
      <c r="J17" s="170">
        <f>Expenses!L25</f>
        <v>0</v>
      </c>
      <c r="K17" s="170">
        <f>Expenses!M25</f>
        <v>1415.72</v>
      </c>
      <c r="L17"/>
    </row>
    <row r="18" spans="1:12" s="1" customFormat="1" ht="30" customHeight="1">
      <c r="A18" s="168">
        <v>2</v>
      </c>
      <c r="B18" s="169" t="str">
        <f>IF('Expenses (2)'!J6&lt;&gt;0,'Expenses (2)'!J6,"")</f>
        <v/>
      </c>
      <c r="C18" s="170">
        <f>'Expenses (2)'!E25</f>
        <v>0</v>
      </c>
      <c r="D18" s="170">
        <f>'Expenses (2)'!F25</f>
        <v>0</v>
      </c>
      <c r="E18" s="170">
        <f>'Expenses (2)'!G25</f>
        <v>0</v>
      </c>
      <c r="F18" s="170">
        <f>'Expenses (2)'!H25</f>
        <v>0</v>
      </c>
      <c r="G18" s="170">
        <f>'Expenses (2)'!I25</f>
        <v>0</v>
      </c>
      <c r="H18" s="170">
        <f>'Expenses (2)'!J25</f>
        <v>0</v>
      </c>
      <c r="I18" s="170">
        <f>'Expenses (2)'!K25</f>
        <v>0</v>
      </c>
      <c r="J18" s="170">
        <f>'Expenses (2)'!L25</f>
        <v>0</v>
      </c>
      <c r="K18" s="170">
        <f>'Expenses (2)'!M25</f>
        <v>0</v>
      </c>
      <c r="L18"/>
    </row>
    <row r="19" spans="1:12" s="1" customFormat="1" ht="30" customHeight="1">
      <c r="A19" s="168">
        <v>3</v>
      </c>
      <c r="B19" s="169" t="str">
        <f>IF('Expenses (3)'!J6&lt;&gt;0,'Expenses (3)'!J6,"")</f>
        <v/>
      </c>
      <c r="C19" s="170">
        <f>'Expenses (3)'!E25</f>
        <v>0</v>
      </c>
      <c r="D19" s="170">
        <f>'Expenses (3)'!F25</f>
        <v>0</v>
      </c>
      <c r="E19" s="170">
        <f>'Expenses (3)'!G25</f>
        <v>0</v>
      </c>
      <c r="F19" s="170">
        <f>'Expenses (3)'!H25</f>
        <v>0</v>
      </c>
      <c r="G19" s="170">
        <f>'Expenses (3)'!I25</f>
        <v>0</v>
      </c>
      <c r="H19" s="170">
        <f>'Expenses (3)'!J25</f>
        <v>0</v>
      </c>
      <c r="I19" s="170">
        <f>'Expenses (3)'!K25</f>
        <v>0</v>
      </c>
      <c r="J19" s="170">
        <f>'Expenses (3)'!L25</f>
        <v>0</v>
      </c>
      <c r="K19" s="170">
        <f>'Expenses (3)'!M25</f>
        <v>0</v>
      </c>
      <c r="L19"/>
    </row>
    <row r="20" spans="1:12" s="1" customFormat="1" ht="30" customHeight="1">
      <c r="A20" s="168">
        <v>4</v>
      </c>
      <c r="B20" s="169" t="str">
        <f>IF('Expenses (4)'!J6&lt;&gt;0,'Expenses (4)'!J6,"")</f>
        <v/>
      </c>
      <c r="C20" s="170">
        <f>'Expenses (4)'!E25</f>
        <v>0</v>
      </c>
      <c r="D20" s="170">
        <f>'Expenses (4)'!F25</f>
        <v>0</v>
      </c>
      <c r="E20" s="170">
        <f>'Expenses (4)'!G25</f>
        <v>0</v>
      </c>
      <c r="F20" s="170">
        <f>'Expenses (4)'!H25</f>
        <v>0</v>
      </c>
      <c r="G20" s="170">
        <f>'Expenses (4)'!I25</f>
        <v>0</v>
      </c>
      <c r="H20" s="170">
        <f>'Expenses (4)'!J25</f>
        <v>0</v>
      </c>
      <c r="I20" s="170">
        <f>'Expenses (4)'!K25</f>
        <v>0</v>
      </c>
      <c r="J20" s="170">
        <f>'Expenses (4)'!L25</f>
        <v>0</v>
      </c>
      <c r="K20" s="170">
        <f>'Expenses (4)'!M25</f>
        <v>0</v>
      </c>
      <c r="L20"/>
    </row>
    <row r="21" spans="1:12" s="1" customFormat="1" ht="30" customHeight="1">
      <c r="A21" s="168">
        <v>5</v>
      </c>
      <c r="B21" s="169" t="str">
        <f>IF('Expenses (5)'!J6&lt;&gt;0,'Expenses (5)'!J6,"")</f>
        <v/>
      </c>
      <c r="C21" s="170">
        <f>'Expenses (5)'!E25</f>
        <v>0</v>
      </c>
      <c r="D21" s="170">
        <f>'Expenses (5)'!F25</f>
        <v>0</v>
      </c>
      <c r="E21" s="170">
        <f>'Expenses (5)'!G25</f>
        <v>0</v>
      </c>
      <c r="F21" s="170">
        <f>'Expenses (5)'!H25</f>
        <v>0</v>
      </c>
      <c r="G21" s="170">
        <f>'Expenses (5)'!I25</f>
        <v>0</v>
      </c>
      <c r="H21" s="170">
        <f>'Expenses (5)'!J25</f>
        <v>0</v>
      </c>
      <c r="I21" s="170">
        <f>'Expenses (5)'!K25</f>
        <v>0</v>
      </c>
      <c r="J21" s="170">
        <f>'Expenses (5)'!L25</f>
        <v>0</v>
      </c>
      <c r="K21" s="170">
        <f>'Expenses (5)'!M25</f>
        <v>0</v>
      </c>
      <c r="L21"/>
    </row>
    <row r="22" spans="1:12" s="1" customFormat="1" ht="30" customHeight="1" thickBot="1">
      <c r="A22" s="171">
        <v>6</v>
      </c>
      <c r="B22" s="172" t="str">
        <f>IF('Expenses (6)'!J6&lt;&gt;0,'Expenses (6)'!J6,"")</f>
        <v/>
      </c>
      <c r="C22" s="173">
        <f>'Expenses (6)'!E25</f>
        <v>0</v>
      </c>
      <c r="D22" s="173">
        <f>'Expenses (6)'!F25</f>
        <v>0</v>
      </c>
      <c r="E22" s="173">
        <f>'Expenses (6)'!G25</f>
        <v>0</v>
      </c>
      <c r="F22" s="173">
        <f>'Expenses (6)'!H25</f>
        <v>0</v>
      </c>
      <c r="G22" s="173">
        <f>'Expenses (6)'!I25</f>
        <v>0</v>
      </c>
      <c r="H22" s="173">
        <f>'Expenses (6)'!J25</f>
        <v>0</v>
      </c>
      <c r="I22" s="173">
        <f>'Expenses (6)'!K25</f>
        <v>0</v>
      </c>
      <c r="J22" s="173">
        <f>'Expenses (6)'!L25</f>
        <v>0</v>
      </c>
      <c r="K22" s="173">
        <f>'Expenses (6)'!M25</f>
        <v>0</v>
      </c>
      <c r="L22"/>
    </row>
    <row r="23" spans="1:12" s="1" customFormat="1" ht="30" customHeight="1" thickBot="1">
      <c r="A23" s="139" t="s">
        <v>49</v>
      </c>
      <c r="B23" s="140" t="str">
        <f>G13</f>
        <v>XEU</v>
      </c>
      <c r="C23" s="131">
        <f>SUM(C17:C22)</f>
        <v>401.15000000000003</v>
      </c>
      <c r="D23" s="131">
        <f>SUM(D17:D22)</f>
        <v>589.6</v>
      </c>
      <c r="E23" s="131">
        <f t="shared" ref="E23:K23" si="0">SUM(E17:E22)</f>
        <v>331.46999999999997</v>
      </c>
      <c r="F23" s="131">
        <f>SUM(F17:F22)</f>
        <v>93.5</v>
      </c>
      <c r="G23" s="131">
        <f t="shared" si="0"/>
        <v>0</v>
      </c>
      <c r="H23" s="131">
        <f t="shared" si="0"/>
        <v>0</v>
      </c>
      <c r="I23" s="131">
        <f>SUM(I17:I22)</f>
        <v>0</v>
      </c>
      <c r="J23" s="131">
        <f t="shared" si="0"/>
        <v>0</v>
      </c>
      <c r="K23" s="153">
        <f t="shared" si="0"/>
        <v>1415.72</v>
      </c>
      <c r="L23"/>
    </row>
    <row r="24" spans="1:12" s="1" customFormat="1" ht="12" customHeight="1">
      <c r="A24" s="40"/>
      <c r="B24" s="61"/>
      <c r="C24" s="59"/>
      <c r="D24" s="47"/>
      <c r="E24" s="51"/>
      <c r="F24" s="41"/>
      <c r="G24" s="51"/>
      <c r="H24" s="48"/>
      <c r="I24" s="42"/>
      <c r="J24" s="58"/>
      <c r="K24" s="71"/>
      <c r="L24"/>
    </row>
    <row r="25" spans="1:12" s="1" customFormat="1" ht="12" customHeight="1">
      <c r="A25" s="43" t="s">
        <v>19</v>
      </c>
      <c r="B25" s="62"/>
      <c r="C25" s="136">
        <v>534020</v>
      </c>
      <c r="D25" s="136">
        <v>534030</v>
      </c>
      <c r="E25" s="136">
        <v>534045</v>
      </c>
      <c r="F25" s="136">
        <v>534060</v>
      </c>
      <c r="G25" s="136">
        <v>534040</v>
      </c>
      <c r="H25" s="136">
        <v>522101</v>
      </c>
      <c r="I25" s="136">
        <v>521700</v>
      </c>
      <c r="J25" s="39"/>
      <c r="K25" s="72"/>
      <c r="L25"/>
    </row>
    <row r="26" spans="1:12" s="1" customFormat="1" ht="12" customHeight="1" thickBot="1">
      <c r="A26" s="44"/>
      <c r="B26" s="63"/>
      <c r="C26" s="60"/>
      <c r="D26" s="49"/>
      <c r="E26" s="52"/>
      <c r="F26" s="45"/>
      <c r="G26" s="52"/>
      <c r="H26" s="50"/>
      <c r="I26" s="46"/>
      <c r="J26" s="64"/>
      <c r="K26" s="73"/>
      <c r="L26"/>
    </row>
    <row r="27" spans="1:12" s="1" customFormat="1" ht="42" customHeight="1" thickBot="1">
      <c r="A27" s="9"/>
      <c r="B27" s="9"/>
      <c r="C27" s="9"/>
      <c r="D27" s="9"/>
      <c r="E27" s="9"/>
      <c r="F27" s="9"/>
      <c r="G27" s="9"/>
      <c r="H27" s="194" t="s">
        <v>50</v>
      </c>
      <c r="I27" s="195"/>
      <c r="J27" s="67"/>
      <c r="K27" s="164"/>
      <c r="L27"/>
    </row>
    <row r="28" spans="1:12" s="1" customFormat="1" ht="15" customHeight="1">
      <c r="A28" s="76"/>
      <c r="B28" s="76"/>
      <c r="C28" s="76"/>
      <c r="D28" s="76"/>
      <c r="E28" s="77"/>
      <c r="F28" s="77"/>
      <c r="G28" s="9"/>
      <c r="H28" s="30" t="s">
        <v>39</v>
      </c>
      <c r="I28" s="65"/>
      <c r="J28" s="68"/>
      <c r="K28" s="154">
        <f>IF(K27+K23&gt;0,K23+K27,"")</f>
        <v>1415.72</v>
      </c>
      <c r="L28"/>
    </row>
    <row r="29" spans="1:12" s="1" customFormat="1" ht="15" customHeight="1">
      <c r="A29" s="145" t="s">
        <v>52</v>
      </c>
      <c r="B29" s="147"/>
      <c r="C29" s="147"/>
      <c r="D29" s="147"/>
      <c r="E29" s="79"/>
      <c r="F29" s="148"/>
      <c r="G29" s="9"/>
      <c r="H29" s="196" t="s">
        <v>36</v>
      </c>
      <c r="I29" s="197"/>
      <c r="J29" s="69"/>
      <c r="K29" s="155"/>
      <c r="L29"/>
    </row>
    <row r="30" spans="1:12" s="1" customFormat="1" ht="15" customHeight="1">
      <c r="A30" s="146" t="s">
        <v>53</v>
      </c>
      <c r="B30" s="149"/>
      <c r="C30" s="149"/>
      <c r="D30" s="149"/>
      <c r="E30" s="150"/>
      <c r="F30" s="151"/>
      <c r="G30" s="9"/>
      <c r="H30" s="157" t="s">
        <v>60</v>
      </c>
      <c r="I30" s="29"/>
      <c r="J30" s="69"/>
      <c r="K30" s="155" t="str">
        <f>IF(K27+K23&lt;0,K27+K23,"")</f>
        <v/>
      </c>
      <c r="L30"/>
    </row>
    <row r="31" spans="1:12" s="1" customFormat="1" ht="15" customHeight="1" thickBot="1">
      <c r="A31" s="28"/>
      <c r="B31" s="28"/>
      <c r="C31" s="9"/>
      <c r="D31" s="9"/>
      <c r="E31" s="9"/>
      <c r="F31" s="9"/>
      <c r="G31" s="9"/>
      <c r="H31" s="32"/>
      <c r="I31" s="66"/>
      <c r="J31" s="70"/>
      <c r="K31" s="156"/>
      <c r="L31"/>
    </row>
    <row r="32" spans="1:12" s="1" customFormat="1" ht="15" customHeight="1">
      <c r="A32" s="9"/>
      <c r="B32" s="9"/>
      <c r="C32" s="9"/>
      <c r="D32" s="9"/>
      <c r="E32" s="9"/>
      <c r="F32" s="9"/>
      <c r="G32" s="9"/>
      <c r="H32" s="28"/>
      <c r="I32" s="9"/>
      <c r="L32"/>
    </row>
    <row r="33" spans="1:12" s="1" customFormat="1" ht="15" customHeight="1">
      <c r="A33" s="9"/>
      <c r="B33" s="9"/>
      <c r="C33" s="9"/>
      <c r="D33" s="9"/>
      <c r="E33" s="9"/>
      <c r="F33" s="9"/>
      <c r="G33" s="9"/>
      <c r="H33" s="28"/>
      <c r="I33" s="9"/>
      <c r="L33"/>
    </row>
    <row r="34" spans="1:12" s="1" customFormat="1" ht="15" customHeight="1">
      <c r="A34" s="22" t="s">
        <v>20</v>
      </c>
      <c r="B34" s="53"/>
      <c r="C34" s="15"/>
      <c r="D34" s="15"/>
      <c r="E34" s="15"/>
      <c r="F34" s="15"/>
      <c r="G34" s="15"/>
      <c r="H34" s="15"/>
      <c r="I34" s="15"/>
      <c r="J34" s="15"/>
      <c r="K34" s="16"/>
      <c r="L34"/>
    </row>
    <row r="35" spans="1:12" s="1" customFormat="1" ht="15" customHeight="1">
      <c r="A35" s="36" t="s">
        <v>44</v>
      </c>
      <c r="B35" s="3"/>
      <c r="C35" s="3"/>
      <c r="D35" s="3"/>
      <c r="E35" s="3"/>
      <c r="F35" s="3"/>
      <c r="G35" s="3"/>
      <c r="H35" s="3"/>
      <c r="I35" s="3"/>
      <c r="J35" s="3"/>
      <c r="K35" s="37"/>
      <c r="L35"/>
    </row>
    <row r="36" spans="1:12" s="1" customFormat="1" ht="15" customHeight="1">
      <c r="A36" s="17" t="s">
        <v>61</v>
      </c>
      <c r="B36" s="12"/>
      <c r="C36" s="38"/>
      <c r="D36" s="38"/>
      <c r="E36" s="12"/>
      <c r="F36" s="12"/>
      <c r="G36" s="12"/>
      <c r="H36" s="38"/>
      <c r="I36" s="38"/>
      <c r="J36" s="12"/>
      <c r="K36" s="37"/>
      <c r="L36"/>
    </row>
    <row r="37" spans="1:12" s="1" customFormat="1" ht="15" customHeight="1">
      <c r="A37" s="17"/>
      <c r="B37" s="12"/>
      <c r="C37" s="11"/>
      <c r="D37" s="11"/>
      <c r="E37" s="10"/>
      <c r="F37" s="10"/>
      <c r="G37" s="10"/>
      <c r="H37" s="11"/>
      <c r="I37" s="11"/>
      <c r="J37" s="10"/>
      <c r="K37" s="74"/>
      <c r="L37"/>
    </row>
    <row r="38" spans="1:12" s="1" customFormat="1" ht="15" customHeight="1">
      <c r="A38" s="33" t="s">
        <v>21</v>
      </c>
      <c r="B38"/>
      <c r="C38"/>
      <c r="D38"/>
      <c r="E38"/>
      <c r="F38" s="13" t="s">
        <v>22</v>
      </c>
      <c r="G38"/>
      <c r="H38"/>
      <c r="I38" s="11"/>
      <c r="J38" s="10"/>
      <c r="K38" s="74"/>
      <c r="L38"/>
    </row>
    <row r="39" spans="1:12" s="1" customFormat="1" ht="15" customHeight="1">
      <c r="A39" s="18" t="s">
        <v>37</v>
      </c>
      <c r="B39" s="54"/>
      <c r="C39" s="19"/>
      <c r="D39" s="19"/>
      <c r="E39" s="5"/>
      <c r="F39" s="20" t="s">
        <v>23</v>
      </c>
      <c r="G39" s="19"/>
      <c r="H39" s="5"/>
      <c r="I39" s="21"/>
      <c r="J39" s="21"/>
      <c r="K39" s="63"/>
      <c r="L39"/>
    </row>
    <row r="40" spans="1:12" s="1" customFormat="1" ht="15" customHeight="1">
      <c r="A40" s="9"/>
      <c r="B40" s="9"/>
      <c r="C40" s="9"/>
      <c r="D40" s="9"/>
      <c r="E40" s="9"/>
      <c r="F40" s="9"/>
      <c r="G40" s="9"/>
      <c r="H40" s="9"/>
      <c r="I40" s="9"/>
      <c r="L40"/>
    </row>
    <row r="41" spans="1:12" s="1" customFormat="1" ht="15" customHeight="1">
      <c r="A41" s="23" t="s">
        <v>24</v>
      </c>
      <c r="B41" s="24"/>
      <c r="C41" s="24"/>
      <c r="D41" s="24"/>
      <c r="E41" s="24"/>
      <c r="F41" s="24"/>
      <c r="G41" s="24"/>
      <c r="H41" s="24"/>
      <c r="I41" s="25"/>
      <c r="J41" s="25"/>
      <c r="K41" s="16"/>
      <c r="L41"/>
    </row>
    <row r="42" spans="1:12" s="3" customFormat="1" ht="15" customHeight="1">
      <c r="A42" s="31" t="s">
        <v>62</v>
      </c>
      <c r="B42" s="55"/>
      <c r="C42" s="29"/>
      <c r="D42" s="29"/>
      <c r="E42" s="29"/>
      <c r="F42" s="29"/>
      <c r="G42" s="29"/>
      <c r="H42" s="29"/>
      <c r="K42" s="37"/>
    </row>
    <row r="43" spans="1:12" s="1" customFormat="1" ht="15" customHeight="1">
      <c r="A43" s="26" t="s">
        <v>51</v>
      </c>
      <c r="B43" s="4"/>
      <c r="C43" s="9"/>
      <c r="D43" s="9"/>
      <c r="E43" s="9"/>
      <c r="F43" s="9"/>
      <c r="G43" s="9"/>
      <c r="H43" s="9"/>
      <c r="K43" s="74"/>
      <c r="L43"/>
    </row>
    <row r="44" spans="1:12" s="1" customFormat="1" ht="15" customHeight="1">
      <c r="A44" s="33" t="s">
        <v>21</v>
      </c>
      <c r="B44"/>
      <c r="C44"/>
      <c r="D44"/>
      <c r="E44"/>
      <c r="F44" s="13" t="s">
        <v>22</v>
      </c>
      <c r="G44"/>
      <c r="H44" s="13"/>
      <c r="I44" s="11"/>
      <c r="J44" s="10"/>
      <c r="K44" s="74"/>
      <c r="L44"/>
    </row>
    <row r="45" spans="1:12" s="1" customFormat="1" ht="15" customHeight="1">
      <c r="A45" s="27" t="s">
        <v>38</v>
      </c>
      <c r="B45" s="56"/>
      <c r="C45" s="9"/>
      <c r="D45" s="9"/>
      <c r="E45" s="9"/>
      <c r="F45" s="14" t="s">
        <v>23</v>
      </c>
      <c r="G45" s="9"/>
      <c r="H45" s="14"/>
      <c r="I45" s="11"/>
      <c r="J45" s="10"/>
      <c r="K45" s="74"/>
      <c r="L45"/>
    </row>
    <row r="46" spans="1:12" s="1" customFormat="1" ht="15" customHeight="1">
      <c r="A46" s="17"/>
      <c r="B46" s="12"/>
      <c r="C46" s="11"/>
      <c r="D46" s="11"/>
      <c r="E46" s="10"/>
      <c r="F46" s="10"/>
      <c r="G46" s="10"/>
      <c r="H46" s="13"/>
      <c r="I46" s="11"/>
      <c r="J46" s="10"/>
      <c r="K46" s="74"/>
      <c r="L46"/>
    </row>
    <row r="47" spans="1:12" s="1" customFormat="1" ht="15" customHeight="1">
      <c r="A47" s="33" t="s">
        <v>21</v>
      </c>
      <c r="B47"/>
      <c r="C47"/>
      <c r="D47"/>
      <c r="E47"/>
      <c r="F47" s="13" t="s">
        <v>22</v>
      </c>
      <c r="G47"/>
      <c r="H47" s="13"/>
      <c r="I47" s="11"/>
      <c r="J47" s="10"/>
      <c r="K47" s="74"/>
      <c r="L47"/>
    </row>
    <row r="48" spans="1:12" s="1" customFormat="1" ht="15" customHeight="1">
      <c r="A48" s="18" t="s">
        <v>43</v>
      </c>
      <c r="B48" s="54"/>
      <c r="C48" s="5"/>
      <c r="D48" s="5"/>
      <c r="E48" s="5"/>
      <c r="F48" s="20" t="s">
        <v>23</v>
      </c>
      <c r="G48" s="5"/>
      <c r="H48" s="5"/>
      <c r="I48" s="21"/>
      <c r="J48" s="21"/>
      <c r="K48" s="63"/>
      <c r="L48"/>
    </row>
    <row r="49" spans="1:12" s="1" customFormat="1" ht="15" customHeight="1">
      <c r="A49" s="9"/>
      <c r="B49" s="9"/>
      <c r="C49" s="12" t="s">
        <v>25</v>
      </c>
      <c r="D49" s="11"/>
      <c r="E49" s="11"/>
      <c r="F49" s="10"/>
      <c r="G49" s="10"/>
      <c r="H49" s="10"/>
      <c r="I49"/>
      <c r="J49" s="11"/>
      <c r="K49" s="10"/>
      <c r="L49"/>
    </row>
    <row r="50" spans="1:12" s="1" customFormat="1" ht="15" customHeight="1">
      <c r="A50" s="35" t="s">
        <v>26</v>
      </c>
      <c r="B50" s="57"/>
      <c r="C50" s="25"/>
      <c r="D50" s="25"/>
      <c r="E50" s="25"/>
      <c r="F50" s="25"/>
      <c r="G50" s="25"/>
      <c r="H50" s="25"/>
      <c r="I50" s="25"/>
      <c r="J50" s="25"/>
      <c r="K50" s="75"/>
      <c r="L50"/>
    </row>
    <row r="51" spans="1:12" s="3" customFormat="1" ht="15" customHeight="1">
      <c r="A51" s="36" t="s">
        <v>54</v>
      </c>
      <c r="K51" s="37"/>
    </row>
    <row r="52" spans="1:12" s="3" customFormat="1" ht="15" customHeight="1">
      <c r="A52" s="36" t="s">
        <v>55</v>
      </c>
      <c r="K52" s="37"/>
    </row>
    <row r="53" spans="1:12" s="1" customFormat="1" ht="15" customHeight="1">
      <c r="A53" s="34"/>
      <c r="K53" s="74"/>
      <c r="L53"/>
    </row>
    <row r="54" spans="1:12" s="1" customFormat="1" ht="15" customHeight="1">
      <c r="A54" s="33" t="s">
        <v>21</v>
      </c>
      <c r="B54"/>
      <c r="C54"/>
      <c r="D54"/>
      <c r="E54"/>
      <c r="F54"/>
      <c r="G54"/>
      <c r="K54" s="74"/>
      <c r="L54"/>
    </row>
    <row r="55" spans="1:12" s="1" customFormat="1" ht="15" customHeight="1">
      <c r="A55" s="27" t="s">
        <v>37</v>
      </c>
      <c r="B55" s="56"/>
      <c r="C55" s="9"/>
      <c r="D55" s="9"/>
      <c r="E55" s="9"/>
      <c r="F55" s="9"/>
      <c r="G55" s="9"/>
      <c r="K55" s="74"/>
      <c r="L55"/>
    </row>
    <row r="56" spans="1:12" s="1" customFormat="1" ht="15" customHeight="1">
      <c r="A56" s="27"/>
      <c r="B56" s="56"/>
      <c r="C56" s="9"/>
      <c r="D56" s="9"/>
      <c r="E56" s="9"/>
      <c r="F56" s="9"/>
      <c r="G56" s="9"/>
      <c r="K56" s="74"/>
      <c r="L56"/>
    </row>
    <row r="57" spans="1:12" s="1" customFormat="1" ht="15" customHeight="1">
      <c r="A57" s="33" t="s">
        <v>21</v>
      </c>
      <c r="B57"/>
      <c r="C57"/>
      <c r="D57"/>
      <c r="E57"/>
      <c r="K57" s="74"/>
      <c r="L57"/>
    </row>
    <row r="58" spans="1:12" s="1" customFormat="1" ht="15" customHeight="1">
      <c r="A58" s="18" t="s">
        <v>38</v>
      </c>
      <c r="B58" s="54"/>
      <c r="C58" s="5"/>
      <c r="D58" s="5"/>
      <c r="E58" s="5"/>
      <c r="F58" s="21"/>
      <c r="G58" s="21"/>
      <c r="H58" s="21"/>
      <c r="I58" s="21"/>
      <c r="J58" s="21"/>
      <c r="K58" s="63"/>
      <c r="L58"/>
    </row>
    <row r="59" spans="1:12" s="1" customFormat="1" ht="15" customHeight="1">
      <c r="A59" s="9"/>
      <c r="B59" s="9"/>
      <c r="C59"/>
      <c r="D59"/>
      <c r="E59"/>
      <c r="F59"/>
      <c r="G59"/>
      <c r="H59"/>
      <c r="I59"/>
      <c r="J59"/>
      <c r="K59"/>
      <c r="L59"/>
    </row>
  </sheetData>
  <mergeCells count="11">
    <mergeCell ref="H27:I27"/>
    <mergeCell ref="H29:I29"/>
    <mergeCell ref="A7:K7"/>
    <mergeCell ref="A1:E5"/>
    <mergeCell ref="A13:F13"/>
    <mergeCell ref="H10:K10"/>
    <mergeCell ref="H9:K9"/>
    <mergeCell ref="C9:F9"/>
    <mergeCell ref="C10:F10"/>
    <mergeCell ref="B12:G12"/>
    <mergeCell ref="H3:K4"/>
  </mergeCells>
  <phoneticPr fontId="2" type="noConversion"/>
  <conditionalFormatting sqref="H3:K4">
    <cfRule type="cellIs" dxfId="1" priority="1" operator="equal">
      <formula>"Do not send until business purpose completed"</formula>
    </cfRule>
    <cfRule type="cellIs" dxfId="0" priority="2" operator="equal">
      <formula>"OK to send"</formula>
    </cfRule>
  </conditionalFormatting>
  <printOptions horizontalCentered="1" gridLinesSet="0"/>
  <pageMargins left="0.45" right="0" top="0.31496062992125984" bottom="0.31496062992125984" header="0" footer="0"/>
  <pageSetup paperSize="9" scale="75" fitToHeight="0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8"/>
  <sheetViews>
    <sheetView showGridLines="0" showZeros="0" topLeftCell="A2" zoomScale="73" workbookViewId="0">
      <selection activeCell="C16" sqref="C16"/>
    </sheetView>
  </sheetViews>
  <sheetFormatPr defaultColWidth="9.140625" defaultRowHeight="12.75"/>
  <cols>
    <col min="1" max="1" width="6.85546875" style="2" customWidth="1"/>
    <col min="2" max="2" width="16" customWidth="1"/>
    <col min="3" max="3" width="16.7109375" customWidth="1"/>
    <col min="4" max="4" width="60" customWidth="1"/>
    <col min="5" max="6" width="9.7109375" customWidth="1"/>
    <col min="8" max="8" width="9.7109375" customWidth="1"/>
    <col min="9" max="9" width="10.85546875" customWidth="1"/>
    <col min="10" max="10" width="9.7109375" customWidth="1"/>
    <col min="11" max="11" width="10.42578125" customWidth="1"/>
    <col min="12" max="12" width="9.7109375" customWidth="1"/>
    <col min="13" max="13" width="12.42578125" customWidth="1"/>
    <col min="14" max="14" width="18.28515625" style="119" customWidth="1"/>
  </cols>
  <sheetData>
    <row r="1" spans="1:14" ht="20.25" customHeight="1">
      <c r="A1" s="191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/>
    </row>
    <row r="2" spans="1:14" ht="22.5" customHeight="1">
      <c r="B2" s="158" t="s">
        <v>63</v>
      </c>
      <c r="D2" s="78"/>
      <c r="J2" s="6"/>
      <c r="K2" s="6"/>
      <c r="L2" s="7"/>
      <c r="M2" s="7"/>
      <c r="N2"/>
    </row>
    <row r="3" spans="1:14" ht="13.5" thickBot="1">
      <c r="N3"/>
    </row>
    <row r="4" spans="1:14" ht="13.5" thickBot="1">
      <c r="L4" s="79" t="s">
        <v>32</v>
      </c>
      <c r="M4" s="80">
        <v>1</v>
      </c>
      <c r="N4"/>
    </row>
    <row r="5" spans="1:14" ht="13.5" thickBot="1">
      <c r="N5"/>
    </row>
    <row r="6" spans="1:14" ht="20.100000000000001" customHeight="1" thickBot="1">
      <c r="A6" s="81" t="s">
        <v>1</v>
      </c>
      <c r="B6" s="82"/>
      <c r="C6" s="192" t="s">
        <v>66</v>
      </c>
      <c r="D6" s="193"/>
      <c r="E6" s="83"/>
      <c r="F6" s="84"/>
      <c r="G6" s="84"/>
      <c r="H6" s="85" t="s">
        <v>31</v>
      </c>
      <c r="I6" s="84"/>
      <c r="J6" s="166" t="s">
        <v>69</v>
      </c>
      <c r="K6" s="85" t="s">
        <v>48</v>
      </c>
      <c r="L6" s="85" t="s">
        <v>56</v>
      </c>
      <c r="M6" s="165">
        <v>1</v>
      </c>
      <c r="N6"/>
    </row>
    <row r="7" spans="1:14" s="1" customFormat="1" ht="33.75" customHeight="1">
      <c r="A7" s="86" t="s">
        <v>27</v>
      </c>
      <c r="B7" s="87" t="s">
        <v>2</v>
      </c>
      <c r="C7" s="128" t="s">
        <v>3</v>
      </c>
      <c r="D7" s="129" t="s">
        <v>6</v>
      </c>
      <c r="E7" s="88" t="str">
        <f>Summary!C14</f>
        <v xml:space="preserve">Air Fares   </v>
      </c>
      <c r="F7" s="87" t="str">
        <f>Summary!D14</f>
        <v>Hotel / Lodging</v>
      </c>
      <c r="G7" s="137" t="str">
        <f>Summary!E14</f>
        <v>Working Meals (Internal Staff)</v>
      </c>
      <c r="H7" s="87" t="str">
        <f>Summary!F14</f>
        <v>Taxis/Rail &amp; Bus/Car Hire/Mileage</v>
      </c>
      <c r="I7" s="87" t="str">
        <f>Summary!G14</f>
        <v>Client Entertainment</v>
      </c>
      <c r="J7" s="87" t="str">
        <f>Summary!H14</f>
        <v>Marketing Related/Client travel</v>
      </c>
      <c r="K7" s="87" t="str">
        <f>Summary!I14</f>
        <v>PM travel supporting Sales</v>
      </c>
      <c r="L7" s="89" t="str">
        <f>Summary!J14</f>
        <v>Other</v>
      </c>
      <c r="M7" s="90" t="s">
        <v>5</v>
      </c>
      <c r="N7" s="91"/>
    </row>
    <row r="8" spans="1:14" s="100" customFormat="1" ht="25.5">
      <c r="A8" s="92"/>
      <c r="B8" s="92"/>
      <c r="C8" s="93"/>
      <c r="D8" s="94" t="s">
        <v>45</v>
      </c>
      <c r="E8" s="95" t="s">
        <v>7</v>
      </c>
      <c r="F8" s="92" t="s">
        <v>8</v>
      </c>
      <c r="G8" s="92" t="s">
        <v>9</v>
      </c>
      <c r="H8" s="92" t="s">
        <v>10</v>
      </c>
      <c r="I8" s="96" t="s">
        <v>11</v>
      </c>
      <c r="J8" s="92" t="s">
        <v>12</v>
      </c>
      <c r="K8" s="92" t="s">
        <v>13</v>
      </c>
      <c r="L8" s="97" t="s">
        <v>29</v>
      </c>
      <c r="M8" s="98" t="s">
        <v>30</v>
      </c>
      <c r="N8" s="99"/>
    </row>
    <row r="9" spans="1:14" s="1" customFormat="1" ht="30" customHeight="1">
      <c r="A9" s="121">
        <v>1</v>
      </c>
      <c r="B9" s="122">
        <v>46062</v>
      </c>
      <c r="C9" s="185" t="s">
        <v>68</v>
      </c>
      <c r="D9" s="186" t="s">
        <v>72</v>
      </c>
      <c r="E9" s="125">
        <v>63.99</v>
      </c>
      <c r="F9" s="126"/>
      <c r="G9" s="126"/>
      <c r="H9" s="126"/>
      <c r="I9" s="126"/>
      <c r="J9" s="126"/>
      <c r="K9" s="126"/>
      <c r="L9" s="126"/>
      <c r="M9" s="101">
        <f t="shared" ref="M9:M21" si="0">SUM(E9:L9)</f>
        <v>63.99</v>
      </c>
    </row>
    <row r="10" spans="1:14" s="1" customFormat="1" ht="30" customHeight="1">
      <c r="A10" s="121">
        <v>2</v>
      </c>
      <c r="B10" s="122">
        <v>46062</v>
      </c>
      <c r="C10" s="185" t="s">
        <v>67</v>
      </c>
      <c r="D10" s="187" t="s">
        <v>73</v>
      </c>
      <c r="E10" s="125"/>
      <c r="F10" s="126">
        <v>589.6</v>
      </c>
      <c r="G10" s="126"/>
      <c r="H10" s="126"/>
      <c r="I10" s="126"/>
      <c r="J10" s="126"/>
      <c r="K10" s="126"/>
      <c r="L10" s="126"/>
      <c r="M10" s="101">
        <f t="shared" si="0"/>
        <v>589.6</v>
      </c>
    </row>
    <row r="11" spans="1:14" s="1" customFormat="1" ht="30" customHeight="1">
      <c r="A11" s="121">
        <v>3</v>
      </c>
      <c r="B11" s="122">
        <v>46062</v>
      </c>
      <c r="C11" s="185" t="s">
        <v>67</v>
      </c>
      <c r="D11" s="187" t="s">
        <v>74</v>
      </c>
      <c r="E11" s="125"/>
      <c r="F11" s="126"/>
      <c r="G11" s="126">
        <v>9.82</v>
      </c>
      <c r="H11" s="126"/>
      <c r="I11" s="126"/>
      <c r="J11" s="126"/>
      <c r="K11" s="126"/>
      <c r="L11" s="126"/>
      <c r="M11" s="101">
        <f t="shared" si="0"/>
        <v>9.82</v>
      </c>
    </row>
    <row r="12" spans="1:14" s="1" customFormat="1" ht="45.75" customHeight="1">
      <c r="A12" s="121">
        <v>4</v>
      </c>
      <c r="B12" s="122">
        <v>46063</v>
      </c>
      <c r="C12" s="185" t="s">
        <v>67</v>
      </c>
      <c r="D12" s="187" t="s">
        <v>75</v>
      </c>
      <c r="E12" s="125"/>
      <c r="F12" s="126"/>
      <c r="G12" s="126">
        <v>302.5</v>
      </c>
      <c r="H12" s="126"/>
      <c r="I12" s="126"/>
      <c r="J12" s="126"/>
      <c r="K12" s="126"/>
      <c r="L12" s="126"/>
      <c r="M12" s="101">
        <f t="shared" si="0"/>
        <v>302.5</v>
      </c>
    </row>
    <row r="13" spans="1:14" s="1" customFormat="1" ht="30" customHeight="1">
      <c r="A13" s="121">
        <v>5</v>
      </c>
      <c r="B13" s="122">
        <v>46063</v>
      </c>
      <c r="C13" s="185" t="s">
        <v>67</v>
      </c>
      <c r="D13" s="186" t="s">
        <v>76</v>
      </c>
      <c r="E13" s="125"/>
      <c r="F13" s="126"/>
      <c r="G13" s="126"/>
      <c r="H13" s="126">
        <v>2.5499999999999998</v>
      </c>
      <c r="I13" s="126"/>
      <c r="J13" s="126"/>
      <c r="K13" s="126"/>
      <c r="L13" s="126"/>
      <c r="M13" s="101">
        <f t="shared" si="0"/>
        <v>2.5499999999999998</v>
      </c>
    </row>
    <row r="14" spans="1:14" s="1" customFormat="1" ht="30" customHeight="1">
      <c r="A14" s="121">
        <v>6</v>
      </c>
      <c r="B14" s="122">
        <v>46063</v>
      </c>
      <c r="C14" s="185" t="s">
        <v>67</v>
      </c>
      <c r="D14" s="186" t="s">
        <v>76</v>
      </c>
      <c r="E14" s="125"/>
      <c r="F14" s="126"/>
      <c r="G14" s="126"/>
      <c r="H14" s="126">
        <v>2.5499999999999998</v>
      </c>
      <c r="I14" s="126"/>
      <c r="J14" s="126"/>
      <c r="K14" s="126"/>
      <c r="L14" s="126"/>
      <c r="M14" s="101">
        <f t="shared" si="0"/>
        <v>2.5499999999999998</v>
      </c>
    </row>
    <row r="15" spans="1:14" s="1" customFormat="1" ht="30" customHeight="1">
      <c r="A15" s="121">
        <v>7</v>
      </c>
      <c r="B15" s="122">
        <v>46064</v>
      </c>
      <c r="C15" s="185" t="s">
        <v>67</v>
      </c>
      <c r="D15" s="187" t="s">
        <v>77</v>
      </c>
      <c r="E15" s="125"/>
      <c r="F15" s="126"/>
      <c r="G15" s="126"/>
      <c r="H15" s="126">
        <v>14</v>
      </c>
      <c r="I15" s="126"/>
      <c r="J15" s="126"/>
      <c r="K15" s="126"/>
      <c r="L15" s="126"/>
      <c r="M15" s="101">
        <f t="shared" si="0"/>
        <v>14</v>
      </c>
    </row>
    <row r="16" spans="1:14" s="1" customFormat="1" ht="41.25" customHeight="1">
      <c r="A16" s="121">
        <v>8</v>
      </c>
      <c r="B16" s="122">
        <v>46064</v>
      </c>
      <c r="C16" s="185" t="s">
        <v>67</v>
      </c>
      <c r="D16" s="187" t="s">
        <v>78</v>
      </c>
      <c r="E16" s="125"/>
      <c r="F16" s="126"/>
      <c r="G16" s="126">
        <v>19.149999999999999</v>
      </c>
      <c r="H16" s="126"/>
      <c r="I16" s="126"/>
      <c r="J16" s="126"/>
      <c r="K16" s="126"/>
      <c r="L16" s="126"/>
      <c r="M16" s="101">
        <f t="shared" si="0"/>
        <v>19.149999999999999</v>
      </c>
    </row>
    <row r="17" spans="1:14" s="1" customFormat="1" ht="30" customHeight="1">
      <c r="A17" s="121">
        <v>9</v>
      </c>
      <c r="B17" s="122">
        <v>46064</v>
      </c>
      <c r="C17" s="185" t="s">
        <v>67</v>
      </c>
      <c r="D17" s="187" t="s">
        <v>79</v>
      </c>
      <c r="E17" s="188">
        <v>316.17</v>
      </c>
      <c r="F17" s="189"/>
      <c r="G17" s="189"/>
      <c r="H17" s="189"/>
      <c r="I17" s="189"/>
      <c r="J17" s="189"/>
      <c r="K17" s="189"/>
      <c r="L17" s="189"/>
      <c r="M17" s="101">
        <f t="shared" si="0"/>
        <v>316.17</v>
      </c>
    </row>
    <row r="18" spans="1:14" s="1" customFormat="1" ht="30" customHeight="1">
      <c r="A18" s="121">
        <v>10</v>
      </c>
      <c r="B18" s="122">
        <v>46064</v>
      </c>
      <c r="C18" s="185" t="s">
        <v>67</v>
      </c>
      <c r="D18" s="187" t="s">
        <v>80</v>
      </c>
      <c r="E18" s="188">
        <v>20.99</v>
      </c>
      <c r="F18" s="189"/>
      <c r="G18" s="189"/>
      <c r="H18" s="189"/>
      <c r="I18" s="189"/>
      <c r="J18" s="189"/>
      <c r="K18" s="189"/>
      <c r="L18" s="189"/>
      <c r="M18" s="101">
        <f t="shared" si="0"/>
        <v>20.99</v>
      </c>
    </row>
    <row r="19" spans="1:14" s="1" customFormat="1" ht="30" customHeight="1">
      <c r="A19" s="121">
        <v>11</v>
      </c>
      <c r="B19" s="122">
        <v>46064</v>
      </c>
      <c r="C19" s="185" t="s">
        <v>67</v>
      </c>
      <c r="D19" s="187" t="s">
        <v>70</v>
      </c>
      <c r="E19" s="188"/>
      <c r="F19" s="189"/>
      <c r="G19" s="189"/>
      <c r="H19" s="189">
        <v>74.400000000000006</v>
      </c>
      <c r="I19" s="189"/>
      <c r="J19" s="189"/>
      <c r="K19" s="189"/>
      <c r="L19" s="189"/>
      <c r="M19" s="101">
        <f t="shared" si="0"/>
        <v>74.400000000000006</v>
      </c>
    </row>
    <row r="20" spans="1:14" s="1" customFormat="1" ht="30" customHeight="1">
      <c r="A20" s="121">
        <v>12</v>
      </c>
      <c r="B20" s="122"/>
      <c r="C20" s="185"/>
      <c r="D20" s="186"/>
      <c r="E20" s="188"/>
      <c r="F20" s="189"/>
      <c r="G20" s="189"/>
      <c r="H20" s="189"/>
      <c r="I20" s="189"/>
      <c r="J20" s="189"/>
      <c r="K20" s="189"/>
      <c r="L20" s="189"/>
      <c r="M20" s="101">
        <f t="shared" si="0"/>
        <v>0</v>
      </c>
    </row>
    <row r="21" spans="1:14" s="1" customFormat="1" ht="30" customHeight="1">
      <c r="A21" s="121">
        <v>13</v>
      </c>
      <c r="B21" s="122"/>
      <c r="C21" s="185"/>
      <c r="D21" s="186"/>
      <c r="E21" s="188"/>
      <c r="F21" s="189"/>
      <c r="G21" s="189"/>
      <c r="H21" s="189"/>
      <c r="I21" s="189"/>
      <c r="J21" s="189"/>
      <c r="K21" s="189"/>
      <c r="L21" s="189"/>
      <c r="M21" s="101">
        <f t="shared" si="0"/>
        <v>0</v>
      </c>
    </row>
    <row r="22" spans="1:14" s="1" customFormat="1" ht="30" customHeight="1">
      <c r="A22" s="121"/>
      <c r="B22" s="122"/>
      <c r="C22" s="123"/>
      <c r="D22" s="124"/>
      <c r="E22" s="188"/>
      <c r="F22" s="189"/>
      <c r="G22" s="189"/>
      <c r="H22" s="189"/>
      <c r="I22" s="189"/>
      <c r="J22" s="189"/>
      <c r="K22" s="189"/>
      <c r="L22" s="189"/>
      <c r="M22" s="101">
        <f t="shared" ref="M22:M23" si="1">SUM(E22:L22)</f>
        <v>0</v>
      </c>
    </row>
    <row r="23" spans="1:14" s="1" customFormat="1" ht="30" customHeight="1" thickBot="1">
      <c r="A23" s="121"/>
      <c r="B23" s="122"/>
      <c r="C23" s="123"/>
      <c r="D23" s="124"/>
      <c r="E23" s="125"/>
      <c r="F23" s="126"/>
      <c r="G23" s="126"/>
      <c r="H23" s="126"/>
      <c r="I23" s="126"/>
      <c r="J23" s="126"/>
      <c r="K23" s="126"/>
      <c r="L23" s="126"/>
      <c r="M23" s="101">
        <f t="shared" si="1"/>
        <v>0</v>
      </c>
    </row>
    <row r="24" spans="1:14" s="1" customFormat="1" ht="20.25" customHeight="1" thickBot="1">
      <c r="A24" s="102"/>
      <c r="B24" s="103"/>
      <c r="C24" s="142" t="s">
        <v>5</v>
      </c>
      <c r="D24" s="144" t="s">
        <v>33</v>
      </c>
      <c r="E24" s="104">
        <f t="shared" ref="E24:N24" si="2">SUM(E9:E23)</f>
        <v>401.15000000000003</v>
      </c>
      <c r="F24" s="104">
        <f t="shared" si="2"/>
        <v>589.6</v>
      </c>
      <c r="G24" s="104">
        <f t="shared" si="2"/>
        <v>331.46999999999997</v>
      </c>
      <c r="H24" s="104">
        <f t="shared" si="2"/>
        <v>93.5</v>
      </c>
      <c r="I24" s="104">
        <f t="shared" si="2"/>
        <v>0</v>
      </c>
      <c r="J24" s="104">
        <f t="shared" si="2"/>
        <v>0</v>
      </c>
      <c r="K24" s="104">
        <f t="shared" si="2"/>
        <v>0</v>
      </c>
      <c r="L24" s="104">
        <f t="shared" si="2"/>
        <v>0</v>
      </c>
      <c r="M24" s="104">
        <f t="shared" si="2"/>
        <v>1415.72</v>
      </c>
      <c r="N24" s="105">
        <f t="shared" si="2"/>
        <v>0</v>
      </c>
    </row>
    <row r="25" spans="1:14" s="110" customFormat="1" ht="18" customHeight="1" thickBot="1">
      <c r="A25" s="106"/>
      <c r="B25" s="107"/>
      <c r="C25" s="141" t="s">
        <v>5</v>
      </c>
      <c r="D25" s="143" t="str">
        <f>Summary!G13</f>
        <v>XEU</v>
      </c>
      <c r="E25" s="108">
        <f>E24/$M$6</f>
        <v>401.15000000000003</v>
      </c>
      <c r="F25" s="108">
        <f t="shared" ref="F25:M25" si="3">F24/$M$6</f>
        <v>589.6</v>
      </c>
      <c r="G25" s="108">
        <f t="shared" si="3"/>
        <v>331.46999999999997</v>
      </c>
      <c r="H25" s="108">
        <f t="shared" si="3"/>
        <v>93.5</v>
      </c>
      <c r="I25" s="108">
        <f t="shared" si="3"/>
        <v>0</v>
      </c>
      <c r="J25" s="108">
        <f t="shared" si="3"/>
        <v>0</v>
      </c>
      <c r="K25" s="108">
        <f t="shared" si="3"/>
        <v>0</v>
      </c>
      <c r="L25" s="108">
        <f t="shared" si="3"/>
        <v>0</v>
      </c>
      <c r="M25" s="108">
        <f t="shared" si="3"/>
        <v>1415.72</v>
      </c>
      <c r="N25" s="109"/>
    </row>
    <row r="26" spans="1:14" s="1" customFormat="1" ht="20.100000000000001" customHeight="1">
      <c r="B26" s="10"/>
      <c r="C26" s="112"/>
      <c r="D26" s="112"/>
      <c r="E26" s="113"/>
      <c r="F26" s="112"/>
      <c r="G26" s="114"/>
      <c r="H26" s="112"/>
      <c r="I26" s="114"/>
      <c r="J26" s="115"/>
      <c r="K26" s="115"/>
      <c r="L26"/>
      <c r="M26" s="116"/>
    </row>
    <row r="27" spans="1:14" s="1" customFormat="1" ht="12" customHeight="1">
      <c r="A27" s="117"/>
      <c r="B27" s="10"/>
      <c r="C27" s="10"/>
      <c r="D27" s="10"/>
      <c r="E27" s="113"/>
      <c r="F27" s="112"/>
      <c r="G27" s="114"/>
      <c r="H27" s="112"/>
      <c r="I27" s="114"/>
      <c r="J27" s="115"/>
      <c r="K27" s="115"/>
      <c r="L27"/>
      <c r="M27" s="118"/>
    </row>
    <row r="28" spans="1:14">
      <c r="H28" s="120"/>
    </row>
  </sheetData>
  <mergeCells count="2">
    <mergeCell ref="A1:M1"/>
    <mergeCell ref="C6:D6"/>
  </mergeCells>
  <phoneticPr fontId="2" type="noConversion"/>
  <dataValidations count="1">
    <dataValidation type="custom" allowBlank="1" showInputMessage="1" showErrorMessage="1" error="One receipt per row" sqref="E9:L23" xr:uid="{00000000-0002-0000-0100-000000000000}">
      <formula1>COUNTA($E9:$L9)&lt;=1</formula1>
    </dataValidation>
  </dataValidations>
  <printOptions horizontalCentered="1" verticalCentered="1" gridLinesSet="0"/>
  <pageMargins left="0.27559055118110237" right="0.27559055118110237" top="0.31496062992125984" bottom="0.27559055118110237" header="0.31496062992125984" footer="0.28000000000000003"/>
  <pageSetup paperSize="9" scale="69" orientation="landscape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7"/>
  <sheetViews>
    <sheetView showGridLines="0" showZeros="0" zoomScale="73" workbookViewId="0">
      <selection activeCell="D11" sqref="D11"/>
    </sheetView>
  </sheetViews>
  <sheetFormatPr defaultColWidth="9.140625" defaultRowHeight="12.75"/>
  <cols>
    <col min="1" max="1" width="6.85546875" style="2" customWidth="1"/>
    <col min="2" max="2" width="11.140625" customWidth="1"/>
    <col min="3" max="3" width="16.7109375" customWidth="1"/>
    <col min="4" max="4" width="60" customWidth="1"/>
    <col min="5" max="8" width="9.7109375" customWidth="1"/>
    <col min="9" max="9" width="11.85546875" customWidth="1"/>
    <col min="10" max="10" width="9.7109375" customWidth="1"/>
    <col min="11" max="11" width="10.42578125" customWidth="1"/>
    <col min="12" max="12" width="9.7109375" customWidth="1"/>
    <col min="13" max="13" width="12.42578125" customWidth="1"/>
    <col min="14" max="14" width="18.28515625" style="119" customWidth="1"/>
  </cols>
  <sheetData>
    <row r="1" spans="1:14" ht="20.25" customHeight="1">
      <c r="A1" s="191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/>
    </row>
    <row r="2" spans="1:14" ht="23.25">
      <c r="B2" s="158" t="s">
        <v>63</v>
      </c>
      <c r="C2" s="158"/>
      <c r="D2" s="78"/>
      <c r="J2" s="6"/>
      <c r="K2" s="6"/>
      <c r="L2" s="7"/>
      <c r="M2" s="7"/>
      <c r="N2"/>
    </row>
    <row r="3" spans="1:14" ht="13.5" thickBot="1">
      <c r="N3"/>
    </row>
    <row r="4" spans="1:14" ht="13.5" thickBot="1">
      <c r="L4" s="79" t="s">
        <v>32</v>
      </c>
      <c r="M4" s="80">
        <v>2</v>
      </c>
      <c r="N4"/>
    </row>
    <row r="5" spans="1:14" ht="13.5" thickBot="1">
      <c r="N5"/>
    </row>
    <row r="6" spans="1:14" ht="20.100000000000001" customHeight="1" thickBot="1">
      <c r="A6" s="81" t="s">
        <v>1</v>
      </c>
      <c r="B6" s="82"/>
      <c r="C6" s="192"/>
      <c r="D6" s="193"/>
      <c r="E6" s="83"/>
      <c r="F6" s="84"/>
      <c r="G6" s="84"/>
      <c r="H6" s="85" t="s">
        <v>31</v>
      </c>
      <c r="I6" s="84"/>
      <c r="J6" s="166"/>
      <c r="K6" s="85" t="s">
        <v>48</v>
      </c>
      <c r="L6" s="85" t="s">
        <v>56</v>
      </c>
      <c r="M6" s="165">
        <v>1</v>
      </c>
      <c r="N6"/>
    </row>
    <row r="7" spans="1:14" s="1" customFormat="1" ht="33.75" customHeight="1">
      <c r="A7" s="86" t="s">
        <v>27</v>
      </c>
      <c r="B7" s="87" t="s">
        <v>2</v>
      </c>
      <c r="C7" s="128" t="s">
        <v>3</v>
      </c>
      <c r="D7" s="129" t="s">
        <v>6</v>
      </c>
      <c r="E7" s="88" t="str">
        <f>Summary!C14</f>
        <v xml:space="preserve">Air Fares   </v>
      </c>
      <c r="F7" s="87" t="str">
        <f>Summary!D14</f>
        <v>Hotel / Lodging</v>
      </c>
      <c r="G7" s="137" t="str">
        <f>Summary!E14</f>
        <v>Working Meals (Internal Staff)</v>
      </c>
      <c r="H7" s="87" t="str">
        <f>Summary!F14</f>
        <v>Taxis/Rail &amp; Bus/Car Hire/Mileage</v>
      </c>
      <c r="I7" s="87" t="str">
        <f>Summary!G14</f>
        <v>Client Entertainment</v>
      </c>
      <c r="J7" s="87" t="str">
        <f>Summary!H14</f>
        <v>Marketing Related/Client travel</v>
      </c>
      <c r="K7" s="87" t="str">
        <f>Summary!I14</f>
        <v>PM travel supporting Sales</v>
      </c>
      <c r="L7" s="89" t="str">
        <f>Summary!J14</f>
        <v>Other</v>
      </c>
      <c r="M7" s="90" t="s">
        <v>5</v>
      </c>
      <c r="N7" s="91"/>
    </row>
    <row r="8" spans="1:14" s="100" customFormat="1" ht="25.5">
      <c r="A8" s="92"/>
      <c r="B8" s="92"/>
      <c r="C8" s="93"/>
      <c r="D8" s="94" t="s">
        <v>45</v>
      </c>
      <c r="E8" s="95" t="s">
        <v>7</v>
      </c>
      <c r="F8" s="92" t="s">
        <v>8</v>
      </c>
      <c r="G8" s="92" t="s">
        <v>9</v>
      </c>
      <c r="H8" s="92" t="s">
        <v>10</v>
      </c>
      <c r="I8" s="96" t="s">
        <v>11</v>
      </c>
      <c r="J8" s="92" t="s">
        <v>12</v>
      </c>
      <c r="K8" s="92" t="s">
        <v>13</v>
      </c>
      <c r="L8" s="97" t="s">
        <v>29</v>
      </c>
      <c r="M8" s="98" t="s">
        <v>30</v>
      </c>
      <c r="N8" s="99"/>
    </row>
    <row r="9" spans="1:14" s="1" customFormat="1" ht="30" customHeight="1">
      <c r="A9" s="121"/>
      <c r="B9" s="122"/>
      <c r="C9" s="123"/>
      <c r="D9" s="124"/>
      <c r="E9" s="125"/>
      <c r="F9" s="126"/>
      <c r="G9" s="126"/>
      <c r="H9" s="126"/>
      <c r="I9" s="126"/>
      <c r="J9" s="126"/>
      <c r="K9" s="126"/>
      <c r="L9" s="126"/>
      <c r="M9" s="101">
        <f t="shared" ref="M9:M23" si="0">SUM(E9:L9)</f>
        <v>0</v>
      </c>
    </row>
    <row r="10" spans="1:14" s="1" customFormat="1" ht="30" customHeight="1">
      <c r="A10" s="121"/>
      <c r="B10" s="122"/>
      <c r="C10" s="123"/>
      <c r="D10" s="124"/>
      <c r="E10" s="125"/>
      <c r="F10" s="126"/>
      <c r="G10" s="126"/>
      <c r="H10" s="126"/>
      <c r="I10" s="126"/>
      <c r="J10" s="126"/>
      <c r="K10" s="126"/>
      <c r="L10" s="126"/>
      <c r="M10" s="101">
        <f t="shared" si="0"/>
        <v>0</v>
      </c>
    </row>
    <row r="11" spans="1:14" s="1" customFormat="1" ht="30" customHeight="1">
      <c r="A11" s="121"/>
      <c r="B11" s="122"/>
      <c r="C11" s="123"/>
      <c r="D11" s="124"/>
      <c r="E11" s="125"/>
      <c r="F11" s="126"/>
      <c r="G11" s="126"/>
      <c r="H11" s="126"/>
      <c r="I11" s="126"/>
      <c r="J11" s="126"/>
      <c r="K11" s="126"/>
      <c r="L11" s="126"/>
      <c r="M11" s="101">
        <f t="shared" si="0"/>
        <v>0</v>
      </c>
    </row>
    <row r="12" spans="1:14" s="1" customFormat="1" ht="30" customHeight="1">
      <c r="A12" s="121"/>
      <c r="B12" s="122"/>
      <c r="C12" s="123"/>
      <c r="D12" s="124"/>
      <c r="E12" s="125"/>
      <c r="F12" s="126"/>
      <c r="G12" s="126"/>
      <c r="H12" s="126"/>
      <c r="I12" s="126"/>
      <c r="J12" s="126"/>
      <c r="K12" s="126"/>
      <c r="L12" s="126"/>
      <c r="M12" s="101">
        <f t="shared" si="0"/>
        <v>0</v>
      </c>
    </row>
    <row r="13" spans="1:14" s="1" customFormat="1" ht="30" customHeight="1">
      <c r="A13" s="121"/>
      <c r="B13" s="122"/>
      <c r="C13" s="123"/>
      <c r="D13" s="124"/>
      <c r="E13" s="125"/>
      <c r="F13" s="126"/>
      <c r="G13" s="126"/>
      <c r="H13" s="126"/>
      <c r="I13" s="126"/>
      <c r="J13" s="126"/>
      <c r="K13" s="126"/>
      <c r="L13" s="126"/>
      <c r="M13" s="101">
        <f t="shared" si="0"/>
        <v>0</v>
      </c>
    </row>
    <row r="14" spans="1:14" s="1" customFormat="1" ht="30" customHeight="1">
      <c r="A14" s="121"/>
      <c r="B14" s="122"/>
      <c r="C14" s="123"/>
      <c r="D14" s="124"/>
      <c r="E14" s="125"/>
      <c r="F14" s="126"/>
      <c r="G14" s="126"/>
      <c r="H14" s="126"/>
      <c r="I14" s="126"/>
      <c r="J14" s="126"/>
      <c r="K14" s="126"/>
      <c r="L14" s="126"/>
      <c r="M14" s="101">
        <f t="shared" si="0"/>
        <v>0</v>
      </c>
    </row>
    <row r="15" spans="1:14" s="1" customFormat="1" ht="30" customHeight="1">
      <c r="A15" s="121"/>
      <c r="B15" s="122"/>
      <c r="C15" s="123"/>
      <c r="D15" s="124"/>
      <c r="E15" s="125"/>
      <c r="F15" s="126"/>
      <c r="G15" s="126"/>
      <c r="H15" s="126"/>
      <c r="I15" s="126"/>
      <c r="J15" s="126"/>
      <c r="K15" s="126"/>
      <c r="L15" s="126"/>
      <c r="M15" s="101">
        <f t="shared" si="0"/>
        <v>0</v>
      </c>
    </row>
    <row r="16" spans="1:14" s="1" customFormat="1" ht="30" customHeight="1">
      <c r="A16" s="121"/>
      <c r="B16" s="122"/>
      <c r="C16" s="123"/>
      <c r="D16" s="124"/>
      <c r="E16" s="125"/>
      <c r="F16" s="126"/>
      <c r="G16" s="126"/>
      <c r="H16" s="126"/>
      <c r="I16" s="126"/>
      <c r="J16" s="126"/>
      <c r="K16" s="126"/>
      <c r="L16" s="126"/>
      <c r="M16" s="101">
        <f t="shared" si="0"/>
        <v>0</v>
      </c>
    </row>
    <row r="17" spans="1:14" s="1" customFormat="1" ht="30" customHeight="1">
      <c r="A17" s="121"/>
      <c r="B17" s="122"/>
      <c r="C17" s="123"/>
      <c r="D17" s="124"/>
      <c r="E17" s="125"/>
      <c r="F17" s="126"/>
      <c r="G17" s="126"/>
      <c r="H17" s="126"/>
      <c r="I17" s="126"/>
      <c r="J17" s="126"/>
      <c r="K17" s="126"/>
      <c r="L17" s="126"/>
      <c r="M17" s="101">
        <f t="shared" si="0"/>
        <v>0</v>
      </c>
    </row>
    <row r="18" spans="1:14" s="1" customFormat="1" ht="30" customHeight="1">
      <c r="A18" s="121"/>
      <c r="B18" s="122"/>
      <c r="C18" s="123"/>
      <c r="D18" s="124"/>
      <c r="E18" s="125"/>
      <c r="F18" s="126"/>
      <c r="G18" s="126"/>
      <c r="H18" s="126"/>
      <c r="I18" s="126"/>
      <c r="J18" s="126"/>
      <c r="K18" s="126"/>
      <c r="L18" s="126"/>
      <c r="M18" s="101">
        <f t="shared" si="0"/>
        <v>0</v>
      </c>
    </row>
    <row r="19" spans="1:14" s="1" customFormat="1" ht="30" customHeight="1">
      <c r="A19" s="121"/>
      <c r="B19" s="122"/>
      <c r="C19" s="123"/>
      <c r="D19" s="124"/>
      <c r="E19" s="125"/>
      <c r="F19" s="126"/>
      <c r="G19" s="126"/>
      <c r="H19" s="126"/>
      <c r="I19" s="126"/>
      <c r="J19" s="126"/>
      <c r="K19" s="126"/>
      <c r="L19" s="126"/>
      <c r="M19" s="101">
        <f t="shared" si="0"/>
        <v>0</v>
      </c>
    </row>
    <row r="20" spans="1:14" s="1" customFormat="1" ht="30" customHeight="1">
      <c r="A20" s="121"/>
      <c r="B20" s="122"/>
      <c r="C20" s="123"/>
      <c r="D20" s="124"/>
      <c r="E20" s="125"/>
      <c r="F20" s="126"/>
      <c r="G20" s="126"/>
      <c r="H20" s="126"/>
      <c r="I20" s="126"/>
      <c r="J20" s="126"/>
      <c r="K20" s="126"/>
      <c r="L20" s="126"/>
      <c r="M20" s="101">
        <f t="shared" si="0"/>
        <v>0</v>
      </c>
    </row>
    <row r="21" spans="1:14" s="1" customFormat="1" ht="30" customHeight="1">
      <c r="A21" s="121"/>
      <c r="B21" s="122"/>
      <c r="C21" s="123"/>
      <c r="D21" s="124"/>
      <c r="E21" s="125"/>
      <c r="F21" s="126"/>
      <c r="G21" s="126"/>
      <c r="H21" s="126"/>
      <c r="I21" s="126"/>
      <c r="J21" s="126"/>
      <c r="K21" s="126"/>
      <c r="L21" s="126"/>
      <c r="M21" s="101">
        <f t="shared" si="0"/>
        <v>0</v>
      </c>
    </row>
    <row r="22" spans="1:14" s="1" customFormat="1" ht="30" customHeight="1">
      <c r="A22" s="121"/>
      <c r="B22" s="122"/>
      <c r="C22" s="123"/>
      <c r="D22" s="124"/>
      <c r="E22" s="125"/>
      <c r="F22" s="126"/>
      <c r="G22" s="126"/>
      <c r="H22" s="126"/>
      <c r="I22" s="126"/>
      <c r="J22" s="126"/>
      <c r="K22" s="126"/>
      <c r="L22" s="126"/>
      <c r="M22" s="101">
        <f t="shared" si="0"/>
        <v>0</v>
      </c>
    </row>
    <row r="23" spans="1:14" s="1" customFormat="1" ht="30" customHeight="1" thickBot="1">
      <c r="A23" s="121"/>
      <c r="B23" s="122"/>
      <c r="C23" s="123"/>
      <c r="D23" s="124"/>
      <c r="E23" s="125"/>
      <c r="F23" s="126"/>
      <c r="G23" s="126"/>
      <c r="H23" s="126"/>
      <c r="I23" s="126"/>
      <c r="J23" s="126"/>
      <c r="K23" s="126"/>
      <c r="L23" s="126"/>
      <c r="M23" s="101">
        <f t="shared" si="0"/>
        <v>0</v>
      </c>
    </row>
    <row r="24" spans="1:14" s="1" customFormat="1" ht="20.25" customHeight="1" thickBot="1">
      <c r="A24" s="102"/>
      <c r="B24" s="103"/>
      <c r="C24" s="142" t="s">
        <v>5</v>
      </c>
      <c r="D24" s="144" t="s">
        <v>33</v>
      </c>
      <c r="E24" s="104">
        <f t="shared" ref="E24:N24" si="1">SUM(E9:E23)</f>
        <v>0</v>
      </c>
      <c r="F24" s="104">
        <f t="shared" si="1"/>
        <v>0</v>
      </c>
      <c r="G24" s="104">
        <f t="shared" si="1"/>
        <v>0</v>
      </c>
      <c r="H24" s="104">
        <f t="shared" si="1"/>
        <v>0</v>
      </c>
      <c r="I24" s="104">
        <f t="shared" si="1"/>
        <v>0</v>
      </c>
      <c r="J24" s="104">
        <f t="shared" si="1"/>
        <v>0</v>
      </c>
      <c r="K24" s="104">
        <f t="shared" si="1"/>
        <v>0</v>
      </c>
      <c r="L24" s="104">
        <f t="shared" si="1"/>
        <v>0</v>
      </c>
      <c r="M24" s="104">
        <f t="shared" si="1"/>
        <v>0</v>
      </c>
      <c r="N24" s="105">
        <f t="shared" si="1"/>
        <v>0</v>
      </c>
    </row>
    <row r="25" spans="1:14" s="110" customFormat="1" ht="18" customHeight="1" thickBot="1">
      <c r="A25" s="106"/>
      <c r="B25" s="107"/>
      <c r="C25" s="141" t="s">
        <v>5</v>
      </c>
      <c r="D25" s="143" t="str">
        <f>Summary!G13</f>
        <v>XEU</v>
      </c>
      <c r="E25" s="108">
        <f t="shared" ref="E25:M25" si="2">E24/$M$6</f>
        <v>0</v>
      </c>
      <c r="F25" s="108">
        <f t="shared" si="2"/>
        <v>0</v>
      </c>
      <c r="G25" s="108">
        <f t="shared" si="2"/>
        <v>0</v>
      </c>
      <c r="H25" s="108">
        <f t="shared" si="2"/>
        <v>0</v>
      </c>
      <c r="I25" s="108">
        <f t="shared" si="2"/>
        <v>0</v>
      </c>
      <c r="J25" s="108">
        <f t="shared" si="2"/>
        <v>0</v>
      </c>
      <c r="K25" s="108">
        <f t="shared" si="2"/>
        <v>0</v>
      </c>
      <c r="L25" s="108">
        <f t="shared" si="2"/>
        <v>0</v>
      </c>
      <c r="M25" s="108">
        <f t="shared" si="2"/>
        <v>0</v>
      </c>
      <c r="N25" s="109"/>
    </row>
    <row r="26" spans="1:14" s="1" customFormat="1" ht="20.100000000000001" customHeight="1">
      <c r="A26" s="111"/>
      <c r="B26" s="10"/>
      <c r="C26" s="112"/>
      <c r="D26" s="112"/>
      <c r="E26" s="113"/>
      <c r="F26" s="112"/>
      <c r="G26" s="114"/>
      <c r="H26" s="112"/>
      <c r="I26" s="114"/>
      <c r="J26" s="115"/>
      <c r="K26" s="115"/>
      <c r="L26"/>
      <c r="M26" s="116"/>
    </row>
    <row r="27" spans="1:14" s="1" customFormat="1" ht="12" customHeight="1">
      <c r="A27" s="117"/>
      <c r="B27" s="10"/>
      <c r="C27" s="10"/>
      <c r="D27" s="10"/>
      <c r="E27" s="113"/>
      <c r="F27" s="112"/>
      <c r="G27" s="114"/>
      <c r="H27" s="112"/>
      <c r="I27" s="114"/>
      <c r="J27" s="115"/>
      <c r="K27" s="115"/>
      <c r="L27"/>
      <c r="M27" s="118"/>
    </row>
  </sheetData>
  <mergeCells count="2">
    <mergeCell ref="A1:M1"/>
    <mergeCell ref="C6:D6"/>
  </mergeCells>
  <phoneticPr fontId="2" type="noConversion"/>
  <dataValidations count="2">
    <dataValidation type="custom" allowBlank="1" showInputMessage="1" showErrorMessage="1" sqref="C2" xr:uid="{00000000-0002-0000-0200-000000000000}">
      <formula1>COUNTA($E9:$L9)&lt;=1</formula1>
    </dataValidation>
    <dataValidation type="custom" allowBlank="1" showInputMessage="1" showErrorMessage="1" error="One receipt per row" sqref="E9:L23" xr:uid="{00000000-0002-0000-0200-000001000000}">
      <formula1>COUNTA($E9:$L9)&lt;=1</formula1>
    </dataValidation>
  </dataValidations>
  <printOptions horizontalCentered="1" verticalCentered="1" gridLinesSet="0"/>
  <pageMargins left="0.27559055118110237" right="0.27559055118110237" top="0.31496062992125984" bottom="0.27559055118110237" header="0.31496062992125984" footer="0.28000000000000003"/>
  <pageSetup paperSize="9" scale="70" orientation="landscape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7"/>
  <sheetViews>
    <sheetView showGridLines="0" showZeros="0" zoomScale="73" workbookViewId="0">
      <selection activeCell="D11" sqref="D11"/>
    </sheetView>
  </sheetViews>
  <sheetFormatPr defaultColWidth="9.140625" defaultRowHeight="12.75"/>
  <cols>
    <col min="1" max="1" width="6.85546875" style="2" customWidth="1"/>
    <col min="2" max="2" width="11.140625" customWidth="1"/>
    <col min="3" max="3" width="16.7109375" customWidth="1"/>
    <col min="4" max="4" width="60" customWidth="1"/>
    <col min="5" max="8" width="9.7109375" customWidth="1"/>
    <col min="9" max="9" width="11.85546875" customWidth="1"/>
    <col min="10" max="10" width="9.7109375" customWidth="1"/>
    <col min="11" max="11" width="10.42578125" customWidth="1"/>
    <col min="12" max="12" width="9.7109375" customWidth="1"/>
    <col min="13" max="13" width="12.42578125" customWidth="1"/>
    <col min="14" max="14" width="18.28515625" style="119" customWidth="1"/>
  </cols>
  <sheetData>
    <row r="1" spans="1:14" ht="20.25" customHeight="1">
      <c r="A1" s="191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/>
    </row>
    <row r="2" spans="1:14" ht="23.25">
      <c r="B2" s="158" t="s">
        <v>63</v>
      </c>
      <c r="C2" s="78"/>
      <c r="D2" s="78"/>
      <c r="J2" s="6"/>
      <c r="K2" s="6"/>
      <c r="L2" s="7"/>
      <c r="M2" s="7"/>
      <c r="N2"/>
    </row>
    <row r="3" spans="1:14" ht="13.5" thickBot="1">
      <c r="N3"/>
    </row>
    <row r="4" spans="1:14" ht="13.5" thickBot="1">
      <c r="L4" s="79" t="s">
        <v>32</v>
      </c>
      <c r="M4" s="80">
        <v>3</v>
      </c>
      <c r="N4"/>
    </row>
    <row r="5" spans="1:14" ht="13.5" thickBot="1">
      <c r="N5"/>
    </row>
    <row r="6" spans="1:14" ht="20.100000000000001" customHeight="1" thickBot="1">
      <c r="A6" s="81" t="s">
        <v>1</v>
      </c>
      <c r="B6" s="82"/>
      <c r="C6" s="192"/>
      <c r="D6" s="193"/>
      <c r="E6" s="83"/>
      <c r="F6" s="84"/>
      <c r="G6" s="84"/>
      <c r="H6" s="85" t="s">
        <v>31</v>
      </c>
      <c r="I6" s="84"/>
      <c r="J6" s="166"/>
      <c r="K6" s="85" t="s">
        <v>48</v>
      </c>
      <c r="L6" s="85" t="s">
        <v>56</v>
      </c>
      <c r="M6" s="165">
        <v>1</v>
      </c>
      <c r="N6"/>
    </row>
    <row r="7" spans="1:14" s="1" customFormat="1" ht="33.75" customHeight="1">
      <c r="A7" s="86" t="s">
        <v>27</v>
      </c>
      <c r="B7" s="87" t="s">
        <v>2</v>
      </c>
      <c r="C7" s="128" t="s">
        <v>3</v>
      </c>
      <c r="D7" s="129" t="s">
        <v>6</v>
      </c>
      <c r="E7" s="88" t="str">
        <f>Summary!C14</f>
        <v xml:space="preserve">Air Fares   </v>
      </c>
      <c r="F7" s="87" t="str">
        <f>Summary!D14</f>
        <v>Hotel / Lodging</v>
      </c>
      <c r="G7" s="137" t="str">
        <f>Summary!E14</f>
        <v>Working Meals (Internal Staff)</v>
      </c>
      <c r="H7" s="87" t="str">
        <f>Summary!F14</f>
        <v>Taxis/Rail &amp; Bus/Car Hire/Mileage</v>
      </c>
      <c r="I7" s="87" t="str">
        <f>Summary!G14</f>
        <v>Client Entertainment</v>
      </c>
      <c r="J7" s="87" t="str">
        <f>Summary!H14</f>
        <v>Marketing Related/Client travel</v>
      </c>
      <c r="K7" s="87" t="str">
        <f>Summary!I14</f>
        <v>PM travel supporting Sales</v>
      </c>
      <c r="L7" s="89" t="str">
        <f>Summary!J14</f>
        <v>Other</v>
      </c>
      <c r="M7" s="90" t="s">
        <v>5</v>
      </c>
      <c r="N7" s="91"/>
    </row>
    <row r="8" spans="1:14" s="100" customFormat="1" ht="25.5">
      <c r="A8" s="92"/>
      <c r="B8" s="92"/>
      <c r="C8" s="93"/>
      <c r="D8" s="94" t="s">
        <v>45</v>
      </c>
      <c r="E8" s="95" t="s">
        <v>7</v>
      </c>
      <c r="F8" s="92" t="s">
        <v>8</v>
      </c>
      <c r="G8" s="92" t="s">
        <v>9</v>
      </c>
      <c r="H8" s="92" t="s">
        <v>10</v>
      </c>
      <c r="I8" s="96" t="s">
        <v>11</v>
      </c>
      <c r="J8" s="92" t="s">
        <v>12</v>
      </c>
      <c r="K8" s="92" t="s">
        <v>13</v>
      </c>
      <c r="L8" s="97" t="s">
        <v>29</v>
      </c>
      <c r="M8" s="98" t="s">
        <v>30</v>
      </c>
      <c r="N8" s="99"/>
    </row>
    <row r="9" spans="1:14" s="1" customFormat="1" ht="30" customHeight="1">
      <c r="A9" s="121"/>
      <c r="B9" s="122"/>
      <c r="C9" s="123"/>
      <c r="D9" s="124"/>
      <c r="E9" s="125"/>
      <c r="F9" s="126"/>
      <c r="G9" s="126"/>
      <c r="H9" s="126"/>
      <c r="I9" s="126"/>
      <c r="J9" s="126"/>
      <c r="K9" s="126"/>
      <c r="L9" s="126"/>
      <c r="M9" s="101">
        <f t="shared" ref="M9:M23" si="0">SUM(E9:L9)</f>
        <v>0</v>
      </c>
    </row>
    <row r="10" spans="1:14" s="1" customFormat="1" ht="30" customHeight="1">
      <c r="A10" s="121"/>
      <c r="B10" s="122"/>
      <c r="C10" s="123"/>
      <c r="D10" s="124"/>
      <c r="E10" s="125"/>
      <c r="F10" s="126"/>
      <c r="G10" s="126"/>
      <c r="H10" s="126"/>
      <c r="I10" s="126"/>
      <c r="J10" s="126"/>
      <c r="K10" s="126"/>
      <c r="L10" s="126"/>
      <c r="M10" s="101">
        <f t="shared" si="0"/>
        <v>0</v>
      </c>
    </row>
    <row r="11" spans="1:14" s="1" customFormat="1" ht="30" customHeight="1">
      <c r="A11" s="121"/>
      <c r="B11" s="122"/>
      <c r="C11" s="123"/>
      <c r="D11" s="124"/>
      <c r="E11" s="125"/>
      <c r="F11" s="126"/>
      <c r="G11" s="126"/>
      <c r="H11" s="126"/>
      <c r="I11" s="126"/>
      <c r="J11" s="126"/>
      <c r="K11" s="126"/>
      <c r="L11" s="126"/>
      <c r="M11" s="101">
        <f t="shared" si="0"/>
        <v>0</v>
      </c>
    </row>
    <row r="12" spans="1:14" s="1" customFormat="1" ht="30" customHeight="1">
      <c r="A12" s="127"/>
      <c r="B12" s="122"/>
      <c r="C12" s="123"/>
      <c r="D12" s="124"/>
      <c r="E12" s="125"/>
      <c r="F12" s="126"/>
      <c r="G12" s="126"/>
      <c r="H12" s="126"/>
      <c r="I12" s="126"/>
      <c r="J12" s="126"/>
      <c r="K12" s="126"/>
      <c r="L12" s="126"/>
      <c r="M12" s="101">
        <f t="shared" si="0"/>
        <v>0</v>
      </c>
    </row>
    <row r="13" spans="1:14" s="1" customFormat="1" ht="30" customHeight="1">
      <c r="A13" s="121"/>
      <c r="B13" s="122"/>
      <c r="C13" s="123"/>
      <c r="D13" s="124"/>
      <c r="E13" s="125"/>
      <c r="F13" s="126"/>
      <c r="G13" s="126"/>
      <c r="H13" s="126"/>
      <c r="I13" s="126"/>
      <c r="J13" s="126"/>
      <c r="K13" s="126"/>
      <c r="L13" s="126"/>
      <c r="M13" s="101">
        <f t="shared" si="0"/>
        <v>0</v>
      </c>
    </row>
    <row r="14" spans="1:14" s="1" customFormat="1" ht="30" customHeight="1">
      <c r="A14" s="121"/>
      <c r="B14" s="122"/>
      <c r="C14" s="123"/>
      <c r="D14" s="124"/>
      <c r="E14" s="125"/>
      <c r="F14" s="126"/>
      <c r="G14" s="126"/>
      <c r="H14" s="126"/>
      <c r="I14" s="126"/>
      <c r="J14" s="126"/>
      <c r="K14" s="126"/>
      <c r="L14" s="126"/>
      <c r="M14" s="101">
        <f t="shared" si="0"/>
        <v>0</v>
      </c>
    </row>
    <row r="15" spans="1:14" s="1" customFormat="1" ht="30" customHeight="1">
      <c r="A15" s="121"/>
      <c r="B15" s="122"/>
      <c r="C15" s="123"/>
      <c r="D15" s="124"/>
      <c r="E15" s="125"/>
      <c r="F15" s="126"/>
      <c r="G15" s="126"/>
      <c r="H15" s="126"/>
      <c r="I15" s="126"/>
      <c r="J15" s="126"/>
      <c r="K15" s="126"/>
      <c r="L15" s="126"/>
      <c r="M15" s="101">
        <f t="shared" si="0"/>
        <v>0</v>
      </c>
    </row>
    <row r="16" spans="1:14" s="1" customFormat="1" ht="30" customHeight="1">
      <c r="A16" s="121"/>
      <c r="B16" s="122"/>
      <c r="C16" s="123"/>
      <c r="D16" s="124"/>
      <c r="E16" s="125"/>
      <c r="F16" s="126"/>
      <c r="G16" s="126"/>
      <c r="H16" s="126"/>
      <c r="I16" s="126"/>
      <c r="J16" s="126"/>
      <c r="K16" s="126"/>
      <c r="L16" s="126"/>
      <c r="M16" s="101">
        <f t="shared" si="0"/>
        <v>0</v>
      </c>
    </row>
    <row r="17" spans="1:14" s="1" customFormat="1" ht="30" customHeight="1">
      <c r="A17" s="121"/>
      <c r="B17" s="122"/>
      <c r="C17" s="123"/>
      <c r="D17" s="124"/>
      <c r="E17" s="125"/>
      <c r="F17" s="126"/>
      <c r="G17" s="126"/>
      <c r="H17" s="126"/>
      <c r="I17" s="126"/>
      <c r="J17" s="126"/>
      <c r="K17" s="126"/>
      <c r="L17" s="126"/>
      <c r="M17" s="101">
        <f t="shared" si="0"/>
        <v>0</v>
      </c>
    </row>
    <row r="18" spans="1:14" s="1" customFormat="1" ht="30" customHeight="1">
      <c r="A18" s="121"/>
      <c r="B18" s="122"/>
      <c r="C18" s="123"/>
      <c r="D18" s="124"/>
      <c r="E18" s="125"/>
      <c r="F18" s="126"/>
      <c r="G18" s="126"/>
      <c r="H18" s="126"/>
      <c r="I18" s="126"/>
      <c r="J18" s="126"/>
      <c r="K18" s="126"/>
      <c r="L18" s="126"/>
      <c r="M18" s="101">
        <f t="shared" si="0"/>
        <v>0</v>
      </c>
    </row>
    <row r="19" spans="1:14" s="1" customFormat="1" ht="30" customHeight="1">
      <c r="A19" s="121"/>
      <c r="B19" s="122"/>
      <c r="C19" s="123"/>
      <c r="D19" s="124"/>
      <c r="E19" s="125"/>
      <c r="F19" s="126"/>
      <c r="G19" s="126"/>
      <c r="H19" s="126"/>
      <c r="I19" s="126"/>
      <c r="J19" s="126"/>
      <c r="K19" s="126"/>
      <c r="L19" s="126"/>
      <c r="M19" s="101">
        <f t="shared" si="0"/>
        <v>0</v>
      </c>
    </row>
    <row r="20" spans="1:14" s="1" customFormat="1" ht="30" customHeight="1">
      <c r="A20" s="121"/>
      <c r="B20" s="122"/>
      <c r="C20" s="123"/>
      <c r="D20" s="124"/>
      <c r="E20" s="125"/>
      <c r="F20" s="126"/>
      <c r="G20" s="126"/>
      <c r="H20" s="126"/>
      <c r="I20" s="126"/>
      <c r="J20" s="126"/>
      <c r="K20" s="126"/>
      <c r="L20" s="126"/>
      <c r="M20" s="101">
        <f t="shared" si="0"/>
        <v>0</v>
      </c>
    </row>
    <row r="21" spans="1:14" s="1" customFormat="1" ht="30" customHeight="1">
      <c r="A21" s="121"/>
      <c r="B21" s="122"/>
      <c r="C21" s="123"/>
      <c r="D21" s="124"/>
      <c r="E21" s="125"/>
      <c r="F21" s="126"/>
      <c r="G21" s="126"/>
      <c r="H21" s="126"/>
      <c r="I21" s="126"/>
      <c r="J21" s="126"/>
      <c r="K21" s="126"/>
      <c r="L21" s="126"/>
      <c r="M21" s="101">
        <f t="shared" si="0"/>
        <v>0</v>
      </c>
    </row>
    <row r="22" spans="1:14" s="1" customFormat="1" ht="30" customHeight="1">
      <c r="A22" s="121"/>
      <c r="B22" s="122"/>
      <c r="C22" s="123"/>
      <c r="D22" s="124"/>
      <c r="E22" s="125"/>
      <c r="F22" s="126"/>
      <c r="G22" s="126"/>
      <c r="H22" s="126"/>
      <c r="I22" s="126"/>
      <c r="J22" s="126"/>
      <c r="K22" s="126"/>
      <c r="L22" s="126"/>
      <c r="M22" s="101">
        <f t="shared" si="0"/>
        <v>0</v>
      </c>
    </row>
    <row r="23" spans="1:14" s="1" customFormat="1" ht="30" customHeight="1" thickBot="1">
      <c r="A23" s="121"/>
      <c r="B23" s="122"/>
      <c r="C23" s="123"/>
      <c r="D23" s="124"/>
      <c r="E23" s="125"/>
      <c r="F23" s="126"/>
      <c r="G23" s="126"/>
      <c r="H23" s="126"/>
      <c r="I23" s="126"/>
      <c r="J23" s="126"/>
      <c r="K23" s="126"/>
      <c r="L23" s="126"/>
      <c r="M23" s="101">
        <f t="shared" si="0"/>
        <v>0</v>
      </c>
    </row>
    <row r="24" spans="1:14" s="1" customFormat="1" ht="20.25" customHeight="1" thickBot="1">
      <c r="A24" s="102"/>
      <c r="B24" s="103"/>
      <c r="C24" s="142" t="s">
        <v>5</v>
      </c>
      <c r="D24" s="144" t="s">
        <v>33</v>
      </c>
      <c r="E24" s="104">
        <f t="shared" ref="E24:N24" si="1">SUM(E9:E23)</f>
        <v>0</v>
      </c>
      <c r="F24" s="104">
        <f t="shared" si="1"/>
        <v>0</v>
      </c>
      <c r="G24" s="104">
        <f t="shared" si="1"/>
        <v>0</v>
      </c>
      <c r="H24" s="104">
        <f t="shared" si="1"/>
        <v>0</v>
      </c>
      <c r="I24" s="104">
        <f t="shared" si="1"/>
        <v>0</v>
      </c>
      <c r="J24" s="104">
        <f t="shared" si="1"/>
        <v>0</v>
      </c>
      <c r="K24" s="104">
        <f t="shared" si="1"/>
        <v>0</v>
      </c>
      <c r="L24" s="104">
        <f t="shared" si="1"/>
        <v>0</v>
      </c>
      <c r="M24" s="104">
        <f t="shared" si="1"/>
        <v>0</v>
      </c>
      <c r="N24" s="105">
        <f t="shared" si="1"/>
        <v>0</v>
      </c>
    </row>
    <row r="25" spans="1:14" s="110" customFormat="1" ht="18" customHeight="1" thickBot="1">
      <c r="A25" s="106"/>
      <c r="B25" s="107"/>
      <c r="C25" s="141" t="s">
        <v>5</v>
      </c>
      <c r="D25" s="143" t="str">
        <f>Summary!G13</f>
        <v>XEU</v>
      </c>
      <c r="E25" s="108">
        <f t="shared" ref="E25:M25" si="2">E24/$M$6</f>
        <v>0</v>
      </c>
      <c r="F25" s="108">
        <f t="shared" si="2"/>
        <v>0</v>
      </c>
      <c r="G25" s="108">
        <f t="shared" si="2"/>
        <v>0</v>
      </c>
      <c r="H25" s="108">
        <f t="shared" si="2"/>
        <v>0</v>
      </c>
      <c r="I25" s="108">
        <f t="shared" si="2"/>
        <v>0</v>
      </c>
      <c r="J25" s="108">
        <f t="shared" si="2"/>
        <v>0</v>
      </c>
      <c r="K25" s="108">
        <f t="shared" si="2"/>
        <v>0</v>
      </c>
      <c r="L25" s="108">
        <f t="shared" si="2"/>
        <v>0</v>
      </c>
      <c r="M25" s="108">
        <f t="shared" si="2"/>
        <v>0</v>
      </c>
      <c r="N25" s="109"/>
    </row>
    <row r="26" spans="1:14" s="1" customFormat="1" ht="20.100000000000001" customHeight="1">
      <c r="A26" s="111"/>
      <c r="B26" s="10"/>
      <c r="C26" s="112"/>
      <c r="D26" s="112"/>
      <c r="E26" s="113"/>
      <c r="F26" s="112"/>
      <c r="G26" s="114"/>
      <c r="H26" s="112"/>
      <c r="I26" s="114"/>
      <c r="J26" s="115"/>
      <c r="K26" s="115"/>
      <c r="L26"/>
      <c r="M26" s="116"/>
    </row>
    <row r="27" spans="1:14" s="1" customFormat="1" ht="12" customHeight="1">
      <c r="A27" s="117"/>
      <c r="B27" s="10"/>
      <c r="C27" s="10"/>
      <c r="D27" s="10"/>
      <c r="E27" s="113"/>
      <c r="F27" s="112"/>
      <c r="G27" s="114"/>
      <c r="H27" s="112"/>
      <c r="I27" s="114"/>
      <c r="J27" s="115"/>
      <c r="K27" s="115"/>
      <c r="L27"/>
      <c r="M27" s="118"/>
    </row>
  </sheetData>
  <mergeCells count="2">
    <mergeCell ref="A1:M1"/>
    <mergeCell ref="C6:D6"/>
  </mergeCells>
  <phoneticPr fontId="2" type="noConversion"/>
  <dataValidations count="2">
    <dataValidation type="custom" allowBlank="1" showInputMessage="1" showErrorMessage="1" sqref="B2" xr:uid="{00000000-0002-0000-0300-000000000000}">
      <formula1>COUNTA($E9:$L9)&lt;=1</formula1>
    </dataValidation>
    <dataValidation type="custom" allowBlank="1" showInputMessage="1" showErrorMessage="1" error="One receipt per row" sqref="E9:L23" xr:uid="{00000000-0002-0000-0300-000001000000}">
      <formula1>COUNTA($E9:$L9)&lt;=1</formula1>
    </dataValidation>
  </dataValidations>
  <printOptions horizontalCentered="1" verticalCentered="1" gridLinesSet="0"/>
  <pageMargins left="0.27559055118110237" right="0.27559055118110237" top="0.31496062992125984" bottom="0.27559055118110237" header="0.31496062992125984" footer="0.28000000000000003"/>
  <pageSetup paperSize="9" scale="68" orientation="landscape" horizontalDpi="4294967292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26"/>
  <sheetViews>
    <sheetView showGridLines="0" showZeros="0" zoomScale="73" workbookViewId="0">
      <selection activeCell="D11" sqref="D11"/>
    </sheetView>
  </sheetViews>
  <sheetFormatPr defaultColWidth="9.140625" defaultRowHeight="12.75"/>
  <cols>
    <col min="1" max="1" width="6.85546875" style="2" customWidth="1"/>
    <col min="2" max="2" width="11.140625" customWidth="1"/>
    <col min="3" max="3" width="16.7109375" customWidth="1"/>
    <col min="4" max="4" width="60" customWidth="1"/>
    <col min="5" max="8" width="9.7109375" customWidth="1"/>
    <col min="9" max="9" width="12.140625" customWidth="1"/>
    <col min="10" max="10" width="9.7109375" customWidth="1"/>
    <col min="11" max="11" width="10.42578125" customWidth="1"/>
    <col min="12" max="12" width="9.7109375" customWidth="1"/>
    <col min="13" max="13" width="12.42578125" customWidth="1"/>
    <col min="14" max="14" width="18.28515625" style="119" customWidth="1"/>
  </cols>
  <sheetData>
    <row r="1" spans="1:14" ht="20.25" customHeight="1">
      <c r="A1" s="191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/>
    </row>
    <row r="2" spans="1:14" ht="23.25">
      <c r="B2" s="158" t="s">
        <v>63</v>
      </c>
      <c r="C2" s="78"/>
      <c r="D2" s="78"/>
      <c r="J2" s="6"/>
      <c r="K2" s="6"/>
      <c r="L2" s="7"/>
      <c r="M2" s="7"/>
      <c r="N2"/>
    </row>
    <row r="3" spans="1:14" ht="13.5" thickBot="1">
      <c r="N3"/>
    </row>
    <row r="4" spans="1:14" ht="13.5" thickBot="1">
      <c r="L4" s="79" t="s">
        <v>32</v>
      </c>
      <c r="M4" s="80">
        <v>4</v>
      </c>
      <c r="N4"/>
    </row>
    <row r="5" spans="1:14" ht="13.5" thickBot="1">
      <c r="N5"/>
    </row>
    <row r="6" spans="1:14" ht="20.100000000000001" customHeight="1" thickBot="1">
      <c r="A6" s="81" t="s">
        <v>1</v>
      </c>
      <c r="B6" s="82"/>
      <c r="C6" s="192"/>
      <c r="D6" s="193"/>
      <c r="E6" s="83"/>
      <c r="F6" s="84"/>
      <c r="G6" s="84"/>
      <c r="H6" s="85" t="s">
        <v>31</v>
      </c>
      <c r="I6" s="84"/>
      <c r="J6" s="166"/>
      <c r="K6" s="85" t="s">
        <v>48</v>
      </c>
      <c r="L6" s="85" t="s">
        <v>56</v>
      </c>
      <c r="M6" s="165">
        <v>1</v>
      </c>
      <c r="N6"/>
    </row>
    <row r="7" spans="1:14" s="1" customFormat="1" ht="33.75" customHeight="1">
      <c r="A7" s="86" t="s">
        <v>27</v>
      </c>
      <c r="B7" s="87" t="s">
        <v>2</v>
      </c>
      <c r="C7" s="128" t="s">
        <v>3</v>
      </c>
      <c r="D7" s="129" t="s">
        <v>6</v>
      </c>
      <c r="E7" s="88" t="str">
        <f>Summary!C14</f>
        <v xml:space="preserve">Air Fares   </v>
      </c>
      <c r="F7" s="87" t="str">
        <f>Summary!D14</f>
        <v>Hotel / Lodging</v>
      </c>
      <c r="G7" s="137" t="str">
        <f>Summary!E14</f>
        <v>Working Meals (Internal Staff)</v>
      </c>
      <c r="H7" s="87" t="str">
        <f>Summary!F14</f>
        <v>Taxis/Rail &amp; Bus/Car Hire/Mileage</v>
      </c>
      <c r="I7" s="87" t="str">
        <f>Summary!G14</f>
        <v>Client Entertainment</v>
      </c>
      <c r="J7" s="87" t="str">
        <f>Summary!H14</f>
        <v>Marketing Related/Client travel</v>
      </c>
      <c r="K7" s="87" t="str">
        <f>Summary!I14</f>
        <v>PM travel supporting Sales</v>
      </c>
      <c r="L7" s="89" t="str">
        <f>Summary!J14</f>
        <v>Other</v>
      </c>
      <c r="M7" s="90" t="s">
        <v>5</v>
      </c>
      <c r="N7" s="91"/>
    </row>
    <row r="8" spans="1:14" s="100" customFormat="1" ht="25.5">
      <c r="A8" s="92"/>
      <c r="B8" s="92"/>
      <c r="C8" s="93"/>
      <c r="D8" s="94" t="s">
        <v>45</v>
      </c>
      <c r="E8" s="95" t="s">
        <v>7</v>
      </c>
      <c r="F8" s="92" t="s">
        <v>8</v>
      </c>
      <c r="G8" s="92" t="s">
        <v>9</v>
      </c>
      <c r="H8" s="92" t="s">
        <v>10</v>
      </c>
      <c r="I8" s="96" t="s">
        <v>11</v>
      </c>
      <c r="J8" s="92" t="s">
        <v>12</v>
      </c>
      <c r="K8" s="92" t="s">
        <v>13</v>
      </c>
      <c r="L8" s="97" t="s">
        <v>29</v>
      </c>
      <c r="M8" s="98" t="s">
        <v>30</v>
      </c>
      <c r="N8" s="99"/>
    </row>
    <row r="9" spans="1:14" s="1" customFormat="1" ht="30" customHeight="1">
      <c r="A9" s="121"/>
      <c r="B9" s="122"/>
      <c r="C9" s="123"/>
      <c r="D9" s="124"/>
      <c r="E9" s="125"/>
      <c r="F9" s="126"/>
      <c r="G9" s="126"/>
      <c r="H9" s="126"/>
      <c r="I9" s="126"/>
      <c r="J9" s="126"/>
      <c r="K9" s="126"/>
      <c r="L9" s="126"/>
      <c r="M9" s="101">
        <f t="shared" ref="M9:M23" si="0">SUM(E9:L9)</f>
        <v>0</v>
      </c>
    </row>
    <row r="10" spans="1:14" s="1" customFormat="1" ht="30" customHeight="1">
      <c r="A10" s="121"/>
      <c r="B10" s="122"/>
      <c r="C10" s="123"/>
      <c r="D10" s="124"/>
      <c r="E10" s="125"/>
      <c r="F10" s="126"/>
      <c r="G10" s="126"/>
      <c r="H10" s="126"/>
      <c r="I10" s="126"/>
      <c r="J10" s="126"/>
      <c r="K10" s="126"/>
      <c r="L10" s="126"/>
      <c r="M10" s="101">
        <f t="shared" si="0"/>
        <v>0</v>
      </c>
    </row>
    <row r="11" spans="1:14" s="1" customFormat="1" ht="30" customHeight="1">
      <c r="A11" s="121"/>
      <c r="B11" s="122"/>
      <c r="C11" s="123"/>
      <c r="D11" s="124"/>
      <c r="E11" s="125"/>
      <c r="F11" s="126"/>
      <c r="G11" s="126"/>
      <c r="H11" s="126"/>
      <c r="I11" s="126"/>
      <c r="J11" s="126"/>
      <c r="K11" s="126"/>
      <c r="L11" s="126"/>
      <c r="M11" s="101">
        <f t="shared" si="0"/>
        <v>0</v>
      </c>
    </row>
    <row r="12" spans="1:14" s="1" customFormat="1" ht="30" customHeight="1">
      <c r="A12" s="127"/>
      <c r="B12" s="122"/>
      <c r="C12" s="123"/>
      <c r="D12" s="124"/>
      <c r="E12" s="125"/>
      <c r="F12" s="126"/>
      <c r="G12" s="126"/>
      <c r="H12" s="126"/>
      <c r="I12" s="126"/>
      <c r="J12" s="126"/>
      <c r="K12" s="126"/>
      <c r="L12" s="126"/>
      <c r="M12" s="101">
        <f t="shared" si="0"/>
        <v>0</v>
      </c>
    </row>
    <row r="13" spans="1:14" s="1" customFormat="1" ht="30" customHeight="1">
      <c r="A13" s="121"/>
      <c r="B13" s="122"/>
      <c r="C13" s="123"/>
      <c r="D13" s="124"/>
      <c r="E13" s="125"/>
      <c r="F13" s="126"/>
      <c r="G13" s="126"/>
      <c r="H13" s="126"/>
      <c r="I13" s="126"/>
      <c r="J13" s="126"/>
      <c r="K13" s="126"/>
      <c r="L13" s="126"/>
      <c r="M13" s="101">
        <f t="shared" si="0"/>
        <v>0</v>
      </c>
    </row>
    <row r="14" spans="1:14" s="1" customFormat="1" ht="30" customHeight="1">
      <c r="A14" s="121"/>
      <c r="B14" s="122"/>
      <c r="C14" s="123"/>
      <c r="D14" s="124"/>
      <c r="E14" s="125"/>
      <c r="F14" s="126"/>
      <c r="G14" s="126"/>
      <c r="H14" s="126"/>
      <c r="I14" s="126"/>
      <c r="J14" s="126"/>
      <c r="K14" s="126"/>
      <c r="L14" s="126"/>
      <c r="M14" s="101">
        <f t="shared" si="0"/>
        <v>0</v>
      </c>
    </row>
    <row r="15" spans="1:14" s="1" customFormat="1" ht="30" customHeight="1">
      <c r="A15" s="121"/>
      <c r="B15" s="122"/>
      <c r="C15" s="123"/>
      <c r="D15" s="124"/>
      <c r="E15" s="125"/>
      <c r="F15" s="126"/>
      <c r="G15" s="126"/>
      <c r="H15" s="126"/>
      <c r="I15" s="126"/>
      <c r="J15" s="126"/>
      <c r="K15" s="126"/>
      <c r="L15" s="126"/>
      <c r="M15" s="101">
        <f t="shared" si="0"/>
        <v>0</v>
      </c>
    </row>
    <row r="16" spans="1:14" s="1" customFormat="1" ht="30" customHeight="1">
      <c r="A16" s="121"/>
      <c r="B16" s="122"/>
      <c r="C16" s="123"/>
      <c r="D16" s="124"/>
      <c r="E16" s="125"/>
      <c r="F16" s="126"/>
      <c r="G16" s="126"/>
      <c r="H16" s="126"/>
      <c r="I16" s="126"/>
      <c r="J16" s="126"/>
      <c r="K16" s="126"/>
      <c r="L16" s="126"/>
      <c r="M16" s="101">
        <f t="shared" si="0"/>
        <v>0</v>
      </c>
    </row>
    <row r="17" spans="1:14" s="1" customFormat="1" ht="30" customHeight="1">
      <c r="A17" s="121"/>
      <c r="B17" s="122"/>
      <c r="C17" s="123"/>
      <c r="D17" s="124"/>
      <c r="E17" s="125"/>
      <c r="F17" s="126"/>
      <c r="G17" s="126"/>
      <c r="H17" s="126"/>
      <c r="I17" s="126"/>
      <c r="J17" s="126"/>
      <c r="K17" s="126"/>
      <c r="L17" s="126"/>
      <c r="M17" s="101">
        <f t="shared" si="0"/>
        <v>0</v>
      </c>
    </row>
    <row r="18" spans="1:14" s="1" customFormat="1" ht="30" customHeight="1">
      <c r="A18" s="121"/>
      <c r="B18" s="122"/>
      <c r="C18" s="123"/>
      <c r="D18" s="124"/>
      <c r="E18" s="125"/>
      <c r="F18" s="126"/>
      <c r="G18" s="126"/>
      <c r="H18" s="126"/>
      <c r="I18" s="126"/>
      <c r="J18" s="126"/>
      <c r="K18" s="126"/>
      <c r="L18" s="126"/>
      <c r="M18" s="101">
        <f t="shared" si="0"/>
        <v>0</v>
      </c>
    </row>
    <row r="19" spans="1:14" s="1" customFormat="1" ht="30" customHeight="1">
      <c r="A19" s="121"/>
      <c r="B19" s="122"/>
      <c r="C19" s="123"/>
      <c r="D19" s="124"/>
      <c r="E19" s="125"/>
      <c r="F19" s="126"/>
      <c r="G19" s="126"/>
      <c r="H19" s="126"/>
      <c r="I19" s="126"/>
      <c r="J19" s="126"/>
      <c r="K19" s="126"/>
      <c r="L19" s="126"/>
      <c r="M19" s="101">
        <f t="shared" si="0"/>
        <v>0</v>
      </c>
    </row>
    <row r="20" spans="1:14" s="1" customFormat="1" ht="30" customHeight="1">
      <c r="A20" s="121"/>
      <c r="B20" s="122"/>
      <c r="C20" s="123"/>
      <c r="D20" s="124"/>
      <c r="E20" s="125"/>
      <c r="F20" s="126"/>
      <c r="G20" s="126"/>
      <c r="H20" s="126"/>
      <c r="I20" s="126"/>
      <c r="J20" s="126"/>
      <c r="K20" s="126"/>
      <c r="L20" s="126"/>
      <c r="M20" s="101">
        <f t="shared" si="0"/>
        <v>0</v>
      </c>
    </row>
    <row r="21" spans="1:14" s="1" customFormat="1" ht="30" customHeight="1">
      <c r="A21" s="121"/>
      <c r="B21" s="122"/>
      <c r="C21" s="123"/>
      <c r="D21" s="124"/>
      <c r="E21" s="125"/>
      <c r="F21" s="126"/>
      <c r="G21" s="126"/>
      <c r="H21" s="126"/>
      <c r="I21" s="126"/>
      <c r="J21" s="126"/>
      <c r="K21" s="126"/>
      <c r="L21" s="126"/>
      <c r="M21" s="101">
        <f t="shared" si="0"/>
        <v>0</v>
      </c>
    </row>
    <row r="22" spans="1:14" s="1" customFormat="1" ht="30" customHeight="1">
      <c r="A22" s="121"/>
      <c r="B22" s="122"/>
      <c r="C22" s="123"/>
      <c r="D22" s="124"/>
      <c r="E22" s="125"/>
      <c r="F22" s="126"/>
      <c r="G22" s="126"/>
      <c r="H22" s="126"/>
      <c r="I22" s="126"/>
      <c r="J22" s="126"/>
      <c r="K22" s="126"/>
      <c r="L22" s="126"/>
      <c r="M22" s="101">
        <f t="shared" si="0"/>
        <v>0</v>
      </c>
    </row>
    <row r="23" spans="1:14" s="1" customFormat="1" ht="30" customHeight="1" thickBot="1">
      <c r="A23" s="121"/>
      <c r="B23" s="122"/>
      <c r="C23" s="123"/>
      <c r="D23" s="124"/>
      <c r="E23" s="125"/>
      <c r="F23" s="126"/>
      <c r="G23" s="126"/>
      <c r="H23" s="126"/>
      <c r="I23" s="126"/>
      <c r="J23" s="126"/>
      <c r="K23" s="126"/>
      <c r="L23" s="126"/>
      <c r="M23" s="101">
        <f t="shared" si="0"/>
        <v>0</v>
      </c>
    </row>
    <row r="24" spans="1:14" s="1" customFormat="1" ht="20.25" customHeight="1" thickBot="1">
      <c r="A24" s="102"/>
      <c r="B24" s="103"/>
      <c r="C24" s="142" t="s">
        <v>5</v>
      </c>
      <c r="D24" s="144" t="s">
        <v>33</v>
      </c>
      <c r="E24" s="104">
        <f t="shared" ref="E24:N24" si="1">SUM(E9:E23)</f>
        <v>0</v>
      </c>
      <c r="F24" s="104">
        <f t="shared" si="1"/>
        <v>0</v>
      </c>
      <c r="G24" s="104">
        <f t="shared" si="1"/>
        <v>0</v>
      </c>
      <c r="H24" s="104">
        <f t="shared" si="1"/>
        <v>0</v>
      </c>
      <c r="I24" s="104">
        <f t="shared" si="1"/>
        <v>0</v>
      </c>
      <c r="J24" s="104">
        <f t="shared" si="1"/>
        <v>0</v>
      </c>
      <c r="K24" s="104">
        <f t="shared" si="1"/>
        <v>0</v>
      </c>
      <c r="L24" s="104">
        <f t="shared" si="1"/>
        <v>0</v>
      </c>
      <c r="M24" s="104">
        <f t="shared" si="1"/>
        <v>0</v>
      </c>
      <c r="N24" s="105">
        <f t="shared" si="1"/>
        <v>0</v>
      </c>
    </row>
    <row r="25" spans="1:14" s="110" customFormat="1" ht="18" customHeight="1" thickBot="1">
      <c r="A25" s="106"/>
      <c r="B25" s="107"/>
      <c r="C25" s="141" t="s">
        <v>5</v>
      </c>
      <c r="D25" s="143" t="str">
        <f>Summary!G13</f>
        <v>XEU</v>
      </c>
      <c r="E25" s="108">
        <f t="shared" ref="E25:M25" si="2">E24/$M$6</f>
        <v>0</v>
      </c>
      <c r="F25" s="108">
        <f t="shared" si="2"/>
        <v>0</v>
      </c>
      <c r="G25" s="108">
        <f t="shared" si="2"/>
        <v>0</v>
      </c>
      <c r="H25" s="108">
        <f t="shared" si="2"/>
        <v>0</v>
      </c>
      <c r="I25" s="108">
        <f t="shared" si="2"/>
        <v>0</v>
      </c>
      <c r="J25" s="108">
        <f t="shared" si="2"/>
        <v>0</v>
      </c>
      <c r="K25" s="108">
        <f t="shared" si="2"/>
        <v>0</v>
      </c>
      <c r="L25" s="108">
        <f t="shared" si="2"/>
        <v>0</v>
      </c>
      <c r="M25" s="108">
        <f t="shared" si="2"/>
        <v>0</v>
      </c>
      <c r="N25" s="109"/>
    </row>
    <row r="26" spans="1:14" s="1" customFormat="1" ht="20.100000000000001" customHeight="1">
      <c r="A26" s="111"/>
      <c r="B26" s="10"/>
      <c r="C26" s="112"/>
      <c r="D26" s="112"/>
      <c r="E26" s="113"/>
      <c r="F26" s="112"/>
      <c r="G26" s="114"/>
      <c r="H26" s="112"/>
      <c r="I26" s="114"/>
      <c r="J26" s="115"/>
      <c r="K26" s="115"/>
      <c r="L26"/>
      <c r="M26" s="116"/>
    </row>
  </sheetData>
  <mergeCells count="2">
    <mergeCell ref="A1:M1"/>
    <mergeCell ref="C6:D6"/>
  </mergeCells>
  <phoneticPr fontId="2" type="noConversion"/>
  <dataValidations count="2">
    <dataValidation type="custom" allowBlank="1" showInputMessage="1" showErrorMessage="1" sqref="B2" xr:uid="{00000000-0002-0000-0400-000000000000}">
      <formula1>COUNTA($E9:$L9)&lt;=1</formula1>
    </dataValidation>
    <dataValidation type="custom" allowBlank="1" showInputMessage="1" showErrorMessage="1" error="One receipt per row" sqref="E9:L23" xr:uid="{00000000-0002-0000-0400-000001000000}">
      <formula1>COUNTA($E9:$L9)&lt;=1</formula1>
    </dataValidation>
  </dataValidations>
  <printOptions horizontalCentered="1" verticalCentered="1" gridLinesSet="0"/>
  <pageMargins left="0.27559055118110237" right="0.27559055118110237" top="0.31496062992125984" bottom="0.27559055118110237" header="0.31496062992125984" footer="0.28000000000000003"/>
  <pageSetup paperSize="9" scale="68" orientation="landscape" horizontalDpi="4294967292" vertic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26"/>
  <sheetViews>
    <sheetView showGridLines="0" showZeros="0" zoomScale="73" workbookViewId="0">
      <selection activeCell="D11" sqref="D11"/>
    </sheetView>
  </sheetViews>
  <sheetFormatPr defaultColWidth="9.140625" defaultRowHeight="12.75"/>
  <cols>
    <col min="1" max="1" width="6.85546875" style="2" customWidth="1"/>
    <col min="2" max="2" width="11.140625" customWidth="1"/>
    <col min="3" max="3" width="16.7109375" customWidth="1"/>
    <col min="4" max="4" width="60" customWidth="1"/>
    <col min="5" max="8" width="9.7109375" customWidth="1"/>
    <col min="9" max="9" width="11.7109375" customWidth="1"/>
    <col min="10" max="10" width="9.7109375" customWidth="1"/>
    <col min="11" max="11" width="10.42578125" customWidth="1"/>
    <col min="12" max="12" width="9.7109375" customWidth="1"/>
    <col min="13" max="13" width="12.42578125" customWidth="1"/>
    <col min="14" max="14" width="18.28515625" style="119" customWidth="1"/>
  </cols>
  <sheetData>
    <row r="1" spans="1:14" ht="20.25" customHeight="1">
      <c r="A1" s="191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/>
    </row>
    <row r="2" spans="1:14" ht="23.25">
      <c r="B2" s="158" t="s">
        <v>63</v>
      </c>
      <c r="C2" s="78"/>
      <c r="D2" s="78"/>
      <c r="J2" s="6"/>
      <c r="K2" s="6"/>
      <c r="L2" s="7"/>
      <c r="M2" s="7"/>
      <c r="N2"/>
    </row>
    <row r="3" spans="1:14" ht="13.5" thickBot="1">
      <c r="N3"/>
    </row>
    <row r="4" spans="1:14" ht="13.5" thickBot="1">
      <c r="L4" s="79" t="s">
        <v>32</v>
      </c>
      <c r="M4" s="80">
        <v>5</v>
      </c>
      <c r="N4"/>
    </row>
    <row r="5" spans="1:14" ht="13.5" thickBot="1">
      <c r="N5"/>
    </row>
    <row r="6" spans="1:14" ht="20.100000000000001" customHeight="1" thickBot="1">
      <c r="A6" s="81" t="s">
        <v>1</v>
      </c>
      <c r="B6" s="82"/>
      <c r="C6" s="192"/>
      <c r="D6" s="193"/>
      <c r="E6" s="83"/>
      <c r="F6" s="84"/>
      <c r="G6" s="84"/>
      <c r="H6" s="85" t="s">
        <v>31</v>
      </c>
      <c r="I6" s="84"/>
      <c r="J6" s="166"/>
      <c r="K6" s="85" t="s">
        <v>48</v>
      </c>
      <c r="L6" s="85" t="s">
        <v>56</v>
      </c>
      <c r="M6" s="165">
        <v>1</v>
      </c>
      <c r="N6"/>
    </row>
    <row r="7" spans="1:14" s="1" customFormat="1" ht="33.75" customHeight="1">
      <c r="A7" s="86" t="s">
        <v>27</v>
      </c>
      <c r="B7" s="87" t="s">
        <v>2</v>
      </c>
      <c r="C7" s="128" t="s">
        <v>3</v>
      </c>
      <c r="D7" s="129" t="s">
        <v>6</v>
      </c>
      <c r="E7" s="88" t="str">
        <f>Summary!C14</f>
        <v xml:space="preserve">Air Fares   </v>
      </c>
      <c r="F7" s="87" t="str">
        <f>Summary!D14</f>
        <v>Hotel / Lodging</v>
      </c>
      <c r="G7" s="137" t="str">
        <f>Summary!E14</f>
        <v>Working Meals (Internal Staff)</v>
      </c>
      <c r="H7" s="87" t="str">
        <f>Summary!F14</f>
        <v>Taxis/Rail &amp; Bus/Car Hire/Mileage</v>
      </c>
      <c r="I7" s="87" t="str">
        <f>Summary!G14</f>
        <v>Client Entertainment</v>
      </c>
      <c r="J7" s="87" t="str">
        <f>Summary!H14</f>
        <v>Marketing Related/Client travel</v>
      </c>
      <c r="K7" s="87" t="str">
        <f>Summary!I14</f>
        <v>PM travel supporting Sales</v>
      </c>
      <c r="L7" s="89" t="str">
        <f>Summary!J14</f>
        <v>Other</v>
      </c>
      <c r="M7" s="90" t="s">
        <v>5</v>
      </c>
      <c r="N7" s="91"/>
    </row>
    <row r="8" spans="1:14" s="100" customFormat="1" ht="25.5">
      <c r="A8" s="92"/>
      <c r="B8" s="92"/>
      <c r="C8" s="93"/>
      <c r="D8" s="94" t="s">
        <v>45</v>
      </c>
      <c r="E8" s="95" t="s">
        <v>7</v>
      </c>
      <c r="F8" s="92" t="s">
        <v>8</v>
      </c>
      <c r="G8" s="92" t="s">
        <v>9</v>
      </c>
      <c r="H8" s="92" t="s">
        <v>10</v>
      </c>
      <c r="I8" s="96" t="s">
        <v>11</v>
      </c>
      <c r="J8" s="92" t="s">
        <v>12</v>
      </c>
      <c r="K8" s="92" t="s">
        <v>13</v>
      </c>
      <c r="L8" s="97" t="s">
        <v>29</v>
      </c>
      <c r="M8" s="98" t="s">
        <v>30</v>
      </c>
      <c r="N8" s="99"/>
    </row>
    <row r="9" spans="1:14" s="1" customFormat="1" ht="30" customHeight="1">
      <c r="A9" s="121"/>
      <c r="B9" s="122"/>
      <c r="C9" s="123"/>
      <c r="D9" s="124"/>
      <c r="E9" s="125"/>
      <c r="F9" s="126"/>
      <c r="G9" s="126"/>
      <c r="H9" s="126"/>
      <c r="I9" s="126"/>
      <c r="J9" s="126"/>
      <c r="K9" s="126"/>
      <c r="L9" s="126"/>
      <c r="M9" s="101">
        <f t="shared" ref="M9:M23" si="0">SUM(E9:L9)</f>
        <v>0</v>
      </c>
    </row>
    <row r="10" spans="1:14" s="1" customFormat="1" ht="30" customHeight="1">
      <c r="A10" s="121"/>
      <c r="B10" s="122"/>
      <c r="C10" s="123"/>
      <c r="D10" s="124"/>
      <c r="E10" s="125"/>
      <c r="F10" s="126"/>
      <c r="G10" s="126"/>
      <c r="H10" s="126"/>
      <c r="I10" s="126"/>
      <c r="J10" s="126"/>
      <c r="K10" s="126"/>
      <c r="L10" s="126"/>
      <c r="M10" s="101">
        <f t="shared" si="0"/>
        <v>0</v>
      </c>
    </row>
    <row r="11" spans="1:14" s="1" customFormat="1" ht="30" customHeight="1">
      <c r="A11" s="121"/>
      <c r="B11" s="122"/>
      <c r="C11" s="123"/>
      <c r="D11" s="124"/>
      <c r="E11" s="125"/>
      <c r="F11" s="126"/>
      <c r="G11" s="126"/>
      <c r="H11" s="126"/>
      <c r="I11" s="126"/>
      <c r="J11" s="126"/>
      <c r="K11" s="126"/>
      <c r="L11" s="126"/>
      <c r="M11" s="101">
        <f t="shared" si="0"/>
        <v>0</v>
      </c>
    </row>
    <row r="12" spans="1:14" s="1" customFormat="1" ht="30" customHeight="1">
      <c r="A12" s="127"/>
      <c r="B12" s="122"/>
      <c r="C12" s="123"/>
      <c r="D12" s="124"/>
      <c r="E12" s="125"/>
      <c r="F12" s="126"/>
      <c r="G12" s="126"/>
      <c r="H12" s="126"/>
      <c r="I12" s="126"/>
      <c r="J12" s="126"/>
      <c r="K12" s="126"/>
      <c r="L12" s="126"/>
      <c r="M12" s="101">
        <f t="shared" si="0"/>
        <v>0</v>
      </c>
    </row>
    <row r="13" spans="1:14" s="1" customFormat="1" ht="30" customHeight="1">
      <c r="A13" s="121"/>
      <c r="B13" s="122"/>
      <c r="C13" s="123"/>
      <c r="D13" s="124"/>
      <c r="E13" s="125"/>
      <c r="F13" s="126"/>
      <c r="G13" s="126"/>
      <c r="H13" s="126"/>
      <c r="I13" s="126"/>
      <c r="J13" s="126"/>
      <c r="K13" s="126"/>
      <c r="L13" s="126"/>
      <c r="M13" s="101">
        <f t="shared" si="0"/>
        <v>0</v>
      </c>
    </row>
    <row r="14" spans="1:14" s="1" customFormat="1" ht="30" customHeight="1">
      <c r="A14" s="121"/>
      <c r="B14" s="122"/>
      <c r="C14" s="123"/>
      <c r="D14" s="124"/>
      <c r="E14" s="125"/>
      <c r="F14" s="126"/>
      <c r="G14" s="126"/>
      <c r="H14" s="126"/>
      <c r="I14" s="126"/>
      <c r="J14" s="126"/>
      <c r="K14" s="126"/>
      <c r="L14" s="126"/>
      <c r="M14" s="101">
        <f t="shared" si="0"/>
        <v>0</v>
      </c>
    </row>
    <row r="15" spans="1:14" s="1" customFormat="1" ht="30" customHeight="1">
      <c r="A15" s="121"/>
      <c r="B15" s="122"/>
      <c r="C15" s="123"/>
      <c r="D15" s="124"/>
      <c r="E15" s="125"/>
      <c r="F15" s="126"/>
      <c r="G15" s="126"/>
      <c r="H15" s="126"/>
      <c r="I15" s="126"/>
      <c r="J15" s="126"/>
      <c r="K15" s="126"/>
      <c r="L15" s="126"/>
      <c r="M15" s="101">
        <f t="shared" si="0"/>
        <v>0</v>
      </c>
    </row>
    <row r="16" spans="1:14" s="1" customFormat="1" ht="30" customHeight="1">
      <c r="A16" s="121"/>
      <c r="B16" s="122"/>
      <c r="C16" s="123"/>
      <c r="D16" s="124"/>
      <c r="E16" s="125"/>
      <c r="F16" s="126"/>
      <c r="G16" s="126"/>
      <c r="H16" s="126"/>
      <c r="I16" s="126"/>
      <c r="J16" s="126"/>
      <c r="K16" s="126"/>
      <c r="L16" s="126"/>
      <c r="M16" s="101">
        <f t="shared" si="0"/>
        <v>0</v>
      </c>
    </row>
    <row r="17" spans="1:14" s="1" customFormat="1" ht="30" customHeight="1">
      <c r="A17" s="121"/>
      <c r="B17" s="122"/>
      <c r="C17" s="123"/>
      <c r="D17" s="124"/>
      <c r="E17" s="125"/>
      <c r="F17" s="126"/>
      <c r="G17" s="126"/>
      <c r="H17" s="126"/>
      <c r="I17" s="126"/>
      <c r="J17" s="126"/>
      <c r="K17" s="126"/>
      <c r="L17" s="126"/>
      <c r="M17" s="101">
        <f t="shared" si="0"/>
        <v>0</v>
      </c>
    </row>
    <row r="18" spans="1:14" s="1" customFormat="1" ht="30" customHeight="1">
      <c r="A18" s="121"/>
      <c r="B18" s="122"/>
      <c r="C18" s="123"/>
      <c r="D18" s="124"/>
      <c r="E18" s="125"/>
      <c r="F18" s="126"/>
      <c r="G18" s="126"/>
      <c r="H18" s="126"/>
      <c r="I18" s="126"/>
      <c r="J18" s="126"/>
      <c r="K18" s="126"/>
      <c r="L18" s="126"/>
      <c r="M18" s="101">
        <f t="shared" si="0"/>
        <v>0</v>
      </c>
    </row>
    <row r="19" spans="1:14" s="1" customFormat="1" ht="30" customHeight="1">
      <c r="A19" s="121"/>
      <c r="B19" s="122"/>
      <c r="C19" s="123"/>
      <c r="D19" s="124"/>
      <c r="E19" s="125"/>
      <c r="F19" s="126"/>
      <c r="G19" s="126"/>
      <c r="H19" s="126"/>
      <c r="I19" s="126"/>
      <c r="J19" s="126"/>
      <c r="K19" s="126"/>
      <c r="L19" s="126"/>
      <c r="M19" s="101">
        <f t="shared" si="0"/>
        <v>0</v>
      </c>
    </row>
    <row r="20" spans="1:14" s="1" customFormat="1" ht="30" customHeight="1">
      <c r="A20" s="121"/>
      <c r="B20" s="122"/>
      <c r="C20" s="123"/>
      <c r="D20" s="124"/>
      <c r="E20" s="125"/>
      <c r="F20" s="126"/>
      <c r="G20" s="126"/>
      <c r="H20" s="126"/>
      <c r="I20" s="126"/>
      <c r="J20" s="126"/>
      <c r="K20" s="126"/>
      <c r="L20" s="126"/>
      <c r="M20" s="101">
        <f t="shared" si="0"/>
        <v>0</v>
      </c>
    </row>
    <row r="21" spans="1:14" s="1" customFormat="1" ht="30" customHeight="1">
      <c r="A21" s="121"/>
      <c r="B21" s="122"/>
      <c r="C21" s="123"/>
      <c r="D21" s="124"/>
      <c r="E21" s="125"/>
      <c r="F21" s="126"/>
      <c r="G21" s="126"/>
      <c r="H21" s="126"/>
      <c r="I21" s="126"/>
      <c r="J21" s="126"/>
      <c r="K21" s="126"/>
      <c r="L21" s="126"/>
      <c r="M21" s="101">
        <f t="shared" si="0"/>
        <v>0</v>
      </c>
    </row>
    <row r="22" spans="1:14" s="1" customFormat="1" ht="30" customHeight="1">
      <c r="A22" s="121"/>
      <c r="B22" s="122"/>
      <c r="C22" s="123"/>
      <c r="D22" s="124"/>
      <c r="E22" s="125"/>
      <c r="F22" s="126"/>
      <c r="G22" s="126"/>
      <c r="H22" s="126"/>
      <c r="I22" s="126"/>
      <c r="J22" s="126"/>
      <c r="K22" s="126"/>
      <c r="L22" s="126"/>
      <c r="M22" s="101">
        <f t="shared" si="0"/>
        <v>0</v>
      </c>
    </row>
    <row r="23" spans="1:14" s="1" customFormat="1" ht="30" customHeight="1" thickBot="1">
      <c r="A23" s="121"/>
      <c r="B23" s="122"/>
      <c r="C23" s="123"/>
      <c r="D23" s="124"/>
      <c r="E23" s="125"/>
      <c r="F23" s="126"/>
      <c r="G23" s="126"/>
      <c r="H23" s="126"/>
      <c r="I23" s="126"/>
      <c r="J23" s="126"/>
      <c r="K23" s="126"/>
      <c r="L23" s="126"/>
      <c r="M23" s="101">
        <f t="shared" si="0"/>
        <v>0</v>
      </c>
    </row>
    <row r="24" spans="1:14" s="1" customFormat="1" ht="20.25" customHeight="1" thickBot="1">
      <c r="A24" s="102"/>
      <c r="B24" s="103"/>
      <c r="C24" s="142" t="s">
        <v>5</v>
      </c>
      <c r="D24" s="144" t="s">
        <v>33</v>
      </c>
      <c r="E24" s="104">
        <f t="shared" ref="E24:N24" si="1">SUM(E9:E23)</f>
        <v>0</v>
      </c>
      <c r="F24" s="104">
        <f t="shared" si="1"/>
        <v>0</v>
      </c>
      <c r="G24" s="104">
        <f t="shared" si="1"/>
        <v>0</v>
      </c>
      <c r="H24" s="104">
        <f t="shared" si="1"/>
        <v>0</v>
      </c>
      <c r="I24" s="104">
        <f t="shared" si="1"/>
        <v>0</v>
      </c>
      <c r="J24" s="104">
        <f t="shared" si="1"/>
        <v>0</v>
      </c>
      <c r="K24" s="104">
        <f t="shared" si="1"/>
        <v>0</v>
      </c>
      <c r="L24" s="104">
        <f t="shared" si="1"/>
        <v>0</v>
      </c>
      <c r="M24" s="104">
        <f t="shared" si="1"/>
        <v>0</v>
      </c>
      <c r="N24" s="105">
        <f t="shared" si="1"/>
        <v>0</v>
      </c>
    </row>
    <row r="25" spans="1:14" s="110" customFormat="1" ht="18" customHeight="1" thickBot="1">
      <c r="A25" s="106"/>
      <c r="B25" s="107"/>
      <c r="C25" s="141" t="s">
        <v>5</v>
      </c>
      <c r="D25" s="143" t="str">
        <f>Summary!G13</f>
        <v>XEU</v>
      </c>
      <c r="E25" s="108">
        <f t="shared" ref="E25:M25" si="2">E24/$M$6</f>
        <v>0</v>
      </c>
      <c r="F25" s="108">
        <f>F24/$M$6</f>
        <v>0</v>
      </c>
      <c r="G25" s="108">
        <f>G24/$M$6</f>
        <v>0</v>
      </c>
      <c r="H25" s="108">
        <f>H24/$M$6</f>
        <v>0</v>
      </c>
      <c r="I25" s="108">
        <f t="shared" si="2"/>
        <v>0</v>
      </c>
      <c r="J25" s="108">
        <f t="shared" si="2"/>
        <v>0</v>
      </c>
      <c r="K25" s="108">
        <f t="shared" si="2"/>
        <v>0</v>
      </c>
      <c r="L25" s="108">
        <f t="shared" si="2"/>
        <v>0</v>
      </c>
      <c r="M25" s="108">
        <f t="shared" si="2"/>
        <v>0</v>
      </c>
      <c r="N25" s="109"/>
    </row>
    <row r="26" spans="1:14" s="1" customFormat="1" ht="20.100000000000001" customHeight="1">
      <c r="A26" s="111"/>
      <c r="B26" s="10"/>
      <c r="C26" s="112"/>
      <c r="D26" s="112"/>
      <c r="E26" s="113"/>
      <c r="F26" s="112"/>
      <c r="G26" s="114"/>
      <c r="H26" s="112"/>
      <c r="I26" s="114"/>
      <c r="J26" s="115"/>
      <c r="K26" s="115"/>
      <c r="L26"/>
      <c r="M26" s="116"/>
    </row>
  </sheetData>
  <mergeCells count="2">
    <mergeCell ref="A1:M1"/>
    <mergeCell ref="C6:D6"/>
  </mergeCells>
  <phoneticPr fontId="2" type="noConversion"/>
  <dataValidations count="2">
    <dataValidation type="custom" allowBlank="1" showInputMessage="1" showErrorMessage="1" sqref="B2" xr:uid="{00000000-0002-0000-0500-000000000000}">
      <formula1>COUNTA($E9:$L9)&lt;=1</formula1>
    </dataValidation>
    <dataValidation type="custom" allowBlank="1" showInputMessage="1" showErrorMessage="1" error="One receipt per row" sqref="E9:L23" xr:uid="{00000000-0002-0000-0500-000001000000}">
      <formula1>COUNTA($E9:$L9)&lt;=1</formula1>
    </dataValidation>
  </dataValidations>
  <printOptions horizontalCentered="1" verticalCentered="1" gridLinesSet="0"/>
  <pageMargins left="0.27559055118110237" right="0.27559055118110237" top="0.31496062992125984" bottom="0.27559055118110237" header="0.31496062992125984" footer="0.28000000000000003"/>
  <pageSetup paperSize="9" scale="68" orientation="landscape" horizontalDpi="4294967292" verticalDpi="4294967292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26"/>
  <sheetViews>
    <sheetView showGridLines="0" showZeros="0" zoomScale="73" workbookViewId="0">
      <selection activeCell="D11" sqref="D11"/>
    </sheetView>
  </sheetViews>
  <sheetFormatPr defaultColWidth="9.140625" defaultRowHeight="12.75"/>
  <cols>
    <col min="1" max="1" width="6.85546875" style="2" customWidth="1"/>
    <col min="2" max="2" width="11.140625" customWidth="1"/>
    <col min="3" max="3" width="16.7109375" customWidth="1"/>
    <col min="4" max="4" width="60" customWidth="1"/>
    <col min="5" max="8" width="9.7109375" customWidth="1"/>
    <col min="9" max="9" width="11.85546875" customWidth="1"/>
    <col min="10" max="10" width="9.7109375" customWidth="1"/>
    <col min="11" max="11" width="10.42578125" customWidth="1"/>
    <col min="12" max="12" width="9.7109375" customWidth="1"/>
    <col min="13" max="13" width="12.42578125" customWidth="1"/>
    <col min="14" max="14" width="18.28515625" style="119" customWidth="1"/>
  </cols>
  <sheetData>
    <row r="1" spans="1:14" ht="20.25" customHeight="1">
      <c r="A1" s="191" t="s">
        <v>0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/>
    </row>
    <row r="2" spans="1:14" ht="23.25">
      <c r="B2" s="158" t="s">
        <v>63</v>
      </c>
      <c r="C2" s="78"/>
      <c r="D2" s="78"/>
      <c r="J2" s="6"/>
      <c r="K2" s="6"/>
      <c r="L2" s="7"/>
      <c r="M2" s="7"/>
      <c r="N2"/>
    </row>
    <row r="3" spans="1:14" ht="13.5" thickBot="1">
      <c r="N3"/>
    </row>
    <row r="4" spans="1:14" ht="13.5" thickBot="1">
      <c r="L4" s="79" t="s">
        <v>32</v>
      </c>
      <c r="M4" s="80">
        <v>6</v>
      </c>
      <c r="N4"/>
    </row>
    <row r="5" spans="1:14" ht="13.5" thickBot="1">
      <c r="N5"/>
    </row>
    <row r="6" spans="1:14" ht="20.100000000000001" customHeight="1" thickBot="1">
      <c r="A6" s="81" t="s">
        <v>1</v>
      </c>
      <c r="B6" s="82"/>
      <c r="C6" s="192"/>
      <c r="D6" s="193"/>
      <c r="E6" s="83"/>
      <c r="F6" s="84"/>
      <c r="G6" s="84"/>
      <c r="H6" s="85" t="s">
        <v>31</v>
      </c>
      <c r="I6" s="84"/>
      <c r="J6" s="166"/>
      <c r="K6" s="85" t="s">
        <v>48</v>
      </c>
      <c r="L6" s="85" t="s">
        <v>56</v>
      </c>
      <c r="M6" s="165">
        <v>1</v>
      </c>
      <c r="N6"/>
    </row>
    <row r="7" spans="1:14" s="1" customFormat="1" ht="33.75" customHeight="1">
      <c r="A7" s="86" t="s">
        <v>27</v>
      </c>
      <c r="B7" s="87" t="s">
        <v>2</v>
      </c>
      <c r="C7" s="128" t="s">
        <v>3</v>
      </c>
      <c r="D7" s="129" t="s">
        <v>6</v>
      </c>
      <c r="E7" s="88" t="str">
        <f>Summary!C14</f>
        <v xml:space="preserve">Air Fares   </v>
      </c>
      <c r="F7" s="87" t="str">
        <f>Summary!D14</f>
        <v>Hotel / Lodging</v>
      </c>
      <c r="G7" s="137" t="str">
        <f>Summary!E14</f>
        <v>Working Meals (Internal Staff)</v>
      </c>
      <c r="H7" s="87" t="str">
        <f>Summary!F14</f>
        <v>Taxis/Rail &amp; Bus/Car Hire/Mileage</v>
      </c>
      <c r="I7" s="87" t="str">
        <f>Summary!G14</f>
        <v>Client Entertainment</v>
      </c>
      <c r="J7" s="87" t="str">
        <f>Summary!H14</f>
        <v>Marketing Related/Client travel</v>
      </c>
      <c r="K7" s="87" t="str">
        <f>Summary!I14</f>
        <v>PM travel supporting Sales</v>
      </c>
      <c r="L7" s="89" t="str">
        <f>Summary!J14</f>
        <v>Other</v>
      </c>
      <c r="M7" s="90" t="s">
        <v>5</v>
      </c>
      <c r="N7" s="91"/>
    </row>
    <row r="8" spans="1:14" s="100" customFormat="1" ht="25.5">
      <c r="A8" s="92"/>
      <c r="B8" s="92"/>
      <c r="C8" s="93"/>
      <c r="D8" s="94" t="s">
        <v>45</v>
      </c>
      <c r="E8" s="95" t="s">
        <v>7</v>
      </c>
      <c r="F8" s="92" t="s">
        <v>8</v>
      </c>
      <c r="G8" s="92" t="s">
        <v>9</v>
      </c>
      <c r="H8" s="92" t="s">
        <v>10</v>
      </c>
      <c r="I8" s="96" t="s">
        <v>11</v>
      </c>
      <c r="J8" s="92" t="s">
        <v>12</v>
      </c>
      <c r="K8" s="92" t="s">
        <v>13</v>
      </c>
      <c r="L8" s="97" t="s">
        <v>29</v>
      </c>
      <c r="M8" s="98" t="s">
        <v>30</v>
      </c>
      <c r="N8" s="99"/>
    </row>
    <row r="9" spans="1:14" s="1" customFormat="1" ht="30" customHeight="1">
      <c r="A9" s="121"/>
      <c r="B9" s="122"/>
      <c r="C9" s="123"/>
      <c r="D9" s="124"/>
      <c r="E9" s="125"/>
      <c r="F9" s="126"/>
      <c r="G9" s="126"/>
      <c r="H9" s="126"/>
      <c r="I9" s="126"/>
      <c r="J9" s="126"/>
      <c r="K9" s="126"/>
      <c r="L9" s="126"/>
      <c r="M9" s="101">
        <f t="shared" ref="M9:M23" si="0">SUM(E9:L9)</f>
        <v>0</v>
      </c>
    </row>
    <row r="10" spans="1:14" s="1" customFormat="1" ht="30" customHeight="1">
      <c r="A10" s="121"/>
      <c r="B10" s="122"/>
      <c r="C10" s="123"/>
      <c r="D10" s="124"/>
      <c r="E10" s="125"/>
      <c r="F10" s="126"/>
      <c r="G10" s="126"/>
      <c r="H10" s="126"/>
      <c r="I10" s="126"/>
      <c r="J10" s="126"/>
      <c r="K10" s="126"/>
      <c r="L10" s="126"/>
      <c r="M10" s="101">
        <f t="shared" si="0"/>
        <v>0</v>
      </c>
    </row>
    <row r="11" spans="1:14" s="1" customFormat="1" ht="30" customHeight="1">
      <c r="A11" s="121"/>
      <c r="B11" s="122"/>
      <c r="C11" s="123"/>
      <c r="D11" s="124"/>
      <c r="E11" s="125"/>
      <c r="F11" s="126"/>
      <c r="G11" s="126"/>
      <c r="H11" s="126"/>
      <c r="I11" s="126"/>
      <c r="J11" s="126"/>
      <c r="K11" s="126"/>
      <c r="L11" s="126"/>
      <c r="M11" s="101">
        <f t="shared" si="0"/>
        <v>0</v>
      </c>
    </row>
    <row r="12" spans="1:14" s="1" customFormat="1" ht="30" customHeight="1">
      <c r="A12" s="127"/>
      <c r="B12" s="122"/>
      <c r="C12" s="123"/>
      <c r="D12" s="124"/>
      <c r="E12" s="125"/>
      <c r="F12" s="126"/>
      <c r="G12" s="126"/>
      <c r="H12" s="126"/>
      <c r="I12" s="126"/>
      <c r="J12" s="126"/>
      <c r="K12" s="126"/>
      <c r="L12" s="126"/>
      <c r="M12" s="101">
        <f t="shared" si="0"/>
        <v>0</v>
      </c>
    </row>
    <row r="13" spans="1:14" s="1" customFormat="1" ht="30" customHeight="1">
      <c r="A13" s="121"/>
      <c r="B13" s="122"/>
      <c r="C13" s="123"/>
      <c r="D13" s="124"/>
      <c r="E13" s="125"/>
      <c r="F13" s="126"/>
      <c r="G13" s="126"/>
      <c r="H13" s="126"/>
      <c r="I13" s="126"/>
      <c r="J13" s="126"/>
      <c r="K13" s="126"/>
      <c r="L13" s="126"/>
      <c r="M13" s="101">
        <f t="shared" si="0"/>
        <v>0</v>
      </c>
    </row>
    <row r="14" spans="1:14" s="1" customFormat="1" ht="30" customHeight="1">
      <c r="A14" s="121"/>
      <c r="B14" s="122"/>
      <c r="C14" s="123"/>
      <c r="D14" s="124"/>
      <c r="E14" s="125"/>
      <c r="F14" s="126"/>
      <c r="G14" s="126"/>
      <c r="H14" s="126"/>
      <c r="I14" s="126"/>
      <c r="J14" s="126"/>
      <c r="K14" s="126"/>
      <c r="L14" s="126"/>
      <c r="M14" s="101">
        <f t="shared" si="0"/>
        <v>0</v>
      </c>
    </row>
    <row r="15" spans="1:14" s="1" customFormat="1" ht="30" customHeight="1">
      <c r="A15" s="121"/>
      <c r="B15" s="122"/>
      <c r="C15" s="123"/>
      <c r="D15" s="124"/>
      <c r="E15" s="125"/>
      <c r="F15" s="126"/>
      <c r="G15" s="126"/>
      <c r="H15" s="126"/>
      <c r="I15" s="126"/>
      <c r="J15" s="126"/>
      <c r="K15" s="126"/>
      <c r="L15" s="126"/>
      <c r="M15" s="101">
        <f t="shared" si="0"/>
        <v>0</v>
      </c>
    </row>
    <row r="16" spans="1:14" s="1" customFormat="1" ht="30" customHeight="1">
      <c r="A16" s="121"/>
      <c r="B16" s="122"/>
      <c r="C16" s="123"/>
      <c r="D16" s="124"/>
      <c r="E16" s="125"/>
      <c r="F16" s="126"/>
      <c r="G16" s="126"/>
      <c r="H16" s="126"/>
      <c r="I16" s="126"/>
      <c r="J16" s="126"/>
      <c r="K16" s="126"/>
      <c r="L16" s="126"/>
      <c r="M16" s="101">
        <f t="shared" si="0"/>
        <v>0</v>
      </c>
    </row>
    <row r="17" spans="1:14" s="1" customFormat="1" ht="30" customHeight="1">
      <c r="A17" s="121"/>
      <c r="B17" s="122"/>
      <c r="C17" s="123"/>
      <c r="D17" s="124"/>
      <c r="E17" s="125"/>
      <c r="F17" s="126"/>
      <c r="G17" s="126"/>
      <c r="H17" s="126"/>
      <c r="I17" s="126"/>
      <c r="J17" s="126"/>
      <c r="K17" s="126"/>
      <c r="L17" s="126"/>
      <c r="M17" s="101">
        <f t="shared" si="0"/>
        <v>0</v>
      </c>
    </row>
    <row r="18" spans="1:14" s="1" customFormat="1" ht="30" customHeight="1">
      <c r="A18" s="121"/>
      <c r="B18" s="122"/>
      <c r="C18" s="123"/>
      <c r="D18" s="124"/>
      <c r="E18" s="125"/>
      <c r="F18" s="126"/>
      <c r="G18" s="126"/>
      <c r="H18" s="126"/>
      <c r="I18" s="126"/>
      <c r="J18" s="126"/>
      <c r="K18" s="126"/>
      <c r="L18" s="126"/>
      <c r="M18" s="101">
        <f t="shared" si="0"/>
        <v>0</v>
      </c>
    </row>
    <row r="19" spans="1:14" s="1" customFormat="1" ht="30" customHeight="1">
      <c r="A19" s="121"/>
      <c r="B19" s="122"/>
      <c r="C19" s="123"/>
      <c r="D19" s="124"/>
      <c r="E19" s="125"/>
      <c r="F19" s="126"/>
      <c r="G19" s="126"/>
      <c r="H19" s="126"/>
      <c r="I19" s="126"/>
      <c r="J19" s="126"/>
      <c r="K19" s="126"/>
      <c r="L19" s="126"/>
      <c r="M19" s="101">
        <f t="shared" si="0"/>
        <v>0</v>
      </c>
    </row>
    <row r="20" spans="1:14" s="1" customFormat="1" ht="30" customHeight="1">
      <c r="A20" s="121"/>
      <c r="B20" s="122"/>
      <c r="C20" s="123"/>
      <c r="D20" s="124"/>
      <c r="E20" s="125"/>
      <c r="F20" s="126"/>
      <c r="G20" s="126"/>
      <c r="H20" s="126"/>
      <c r="I20" s="126"/>
      <c r="J20" s="126"/>
      <c r="K20" s="126"/>
      <c r="L20" s="126"/>
      <c r="M20" s="101">
        <f t="shared" si="0"/>
        <v>0</v>
      </c>
    </row>
    <row r="21" spans="1:14" s="1" customFormat="1" ht="30" customHeight="1">
      <c r="A21" s="121"/>
      <c r="B21" s="122"/>
      <c r="C21" s="123"/>
      <c r="D21" s="124"/>
      <c r="E21" s="125"/>
      <c r="F21" s="126"/>
      <c r="G21" s="126"/>
      <c r="H21" s="126"/>
      <c r="I21" s="126"/>
      <c r="J21" s="126"/>
      <c r="K21" s="126"/>
      <c r="L21" s="126"/>
      <c r="M21" s="101">
        <f t="shared" si="0"/>
        <v>0</v>
      </c>
    </row>
    <row r="22" spans="1:14" s="1" customFormat="1" ht="30" customHeight="1">
      <c r="A22" s="121"/>
      <c r="B22" s="122"/>
      <c r="C22" s="123"/>
      <c r="D22" s="124"/>
      <c r="E22" s="125"/>
      <c r="F22" s="126"/>
      <c r="G22" s="126"/>
      <c r="H22" s="126"/>
      <c r="I22" s="126"/>
      <c r="J22" s="126"/>
      <c r="K22" s="126"/>
      <c r="L22" s="126"/>
      <c r="M22" s="101">
        <f t="shared" si="0"/>
        <v>0</v>
      </c>
    </row>
    <row r="23" spans="1:14" s="1" customFormat="1" ht="30" customHeight="1" thickBot="1">
      <c r="A23" s="121"/>
      <c r="B23" s="122"/>
      <c r="C23" s="123"/>
      <c r="D23" s="124"/>
      <c r="E23" s="125"/>
      <c r="F23" s="126"/>
      <c r="G23" s="126"/>
      <c r="H23" s="126"/>
      <c r="I23" s="126"/>
      <c r="J23" s="126"/>
      <c r="K23" s="126"/>
      <c r="L23" s="126"/>
      <c r="M23" s="101">
        <f t="shared" si="0"/>
        <v>0</v>
      </c>
    </row>
    <row r="24" spans="1:14" s="1" customFormat="1" ht="20.25" customHeight="1" thickBot="1">
      <c r="A24" s="102"/>
      <c r="B24" s="103"/>
      <c r="C24" s="142" t="s">
        <v>5</v>
      </c>
      <c r="D24" s="144" t="s">
        <v>33</v>
      </c>
      <c r="E24" s="104">
        <f t="shared" ref="E24:N24" si="1">SUM(E9:E23)</f>
        <v>0</v>
      </c>
      <c r="F24" s="104">
        <f t="shared" si="1"/>
        <v>0</v>
      </c>
      <c r="G24" s="104">
        <f t="shared" si="1"/>
        <v>0</v>
      </c>
      <c r="H24" s="104">
        <f t="shared" si="1"/>
        <v>0</v>
      </c>
      <c r="I24" s="104">
        <f t="shared" si="1"/>
        <v>0</v>
      </c>
      <c r="J24" s="104">
        <f t="shared" si="1"/>
        <v>0</v>
      </c>
      <c r="K24" s="104">
        <f t="shared" si="1"/>
        <v>0</v>
      </c>
      <c r="L24" s="104">
        <f t="shared" si="1"/>
        <v>0</v>
      </c>
      <c r="M24" s="104">
        <f t="shared" si="1"/>
        <v>0</v>
      </c>
      <c r="N24" s="105">
        <f t="shared" si="1"/>
        <v>0</v>
      </c>
    </row>
    <row r="25" spans="1:14" s="110" customFormat="1" ht="18" customHeight="1" thickBot="1">
      <c r="A25" s="106"/>
      <c r="B25" s="107"/>
      <c r="C25" s="141" t="s">
        <v>5</v>
      </c>
      <c r="D25" s="143" t="str">
        <f>Summary!G13</f>
        <v>XEU</v>
      </c>
      <c r="E25" s="108">
        <f t="shared" ref="E25:M25" si="2">E24/$M$6</f>
        <v>0</v>
      </c>
      <c r="F25" s="108">
        <f t="shared" si="2"/>
        <v>0</v>
      </c>
      <c r="G25" s="108">
        <f t="shared" si="2"/>
        <v>0</v>
      </c>
      <c r="H25" s="108">
        <f t="shared" si="2"/>
        <v>0</v>
      </c>
      <c r="I25" s="108">
        <f t="shared" si="2"/>
        <v>0</v>
      </c>
      <c r="J25" s="108">
        <f t="shared" si="2"/>
        <v>0</v>
      </c>
      <c r="K25" s="108">
        <f t="shared" si="2"/>
        <v>0</v>
      </c>
      <c r="L25" s="108">
        <f t="shared" si="2"/>
        <v>0</v>
      </c>
      <c r="M25" s="108">
        <f t="shared" si="2"/>
        <v>0</v>
      </c>
      <c r="N25" s="109"/>
    </row>
    <row r="26" spans="1:14" s="1" customFormat="1" ht="20.100000000000001" customHeight="1">
      <c r="A26" s="111"/>
      <c r="B26" s="10"/>
      <c r="C26" s="112"/>
      <c r="D26" s="112"/>
      <c r="E26" s="113"/>
      <c r="F26" s="112"/>
      <c r="G26" s="114"/>
      <c r="H26" s="112"/>
      <c r="I26" s="114"/>
      <c r="J26" s="115"/>
      <c r="K26" s="115"/>
      <c r="L26"/>
      <c r="M26" s="116"/>
    </row>
  </sheetData>
  <mergeCells count="2">
    <mergeCell ref="A1:M1"/>
    <mergeCell ref="C6:D6"/>
  </mergeCells>
  <phoneticPr fontId="2" type="noConversion"/>
  <dataValidations count="1">
    <dataValidation type="custom" allowBlank="1" showInputMessage="1" showErrorMessage="1" error="One receipt per row" sqref="E9:L23" xr:uid="{00000000-0002-0000-0600-000000000000}">
      <formula1>COUNTA($E9:$L9)&lt;=1</formula1>
    </dataValidation>
  </dataValidations>
  <printOptions horizontalCentered="1" verticalCentered="1" gridLinesSet="0"/>
  <pageMargins left="0.27559055118110237" right="0.27559055118110237" top="0.31496062992125984" bottom="0.27559055118110237" header="0.31496062992125984" footer="0.28000000000000003"/>
  <pageSetup paperSize="9" scale="68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Summary</vt:lpstr>
      <vt:lpstr>Expenses</vt:lpstr>
      <vt:lpstr>Expenses (2)</vt:lpstr>
      <vt:lpstr>Expenses (3)</vt:lpstr>
      <vt:lpstr>Expenses (4)</vt:lpstr>
      <vt:lpstr>Expenses (5)</vt:lpstr>
      <vt:lpstr>Expenses (6)</vt:lpstr>
      <vt:lpstr>Expenses!Print_Area</vt:lpstr>
      <vt:lpstr>'Expenses (2)'!Print_Area</vt:lpstr>
      <vt:lpstr>'Expenses (3)'!Print_Area</vt:lpstr>
      <vt:lpstr>'Expenses (4)'!Print_Area</vt:lpstr>
      <vt:lpstr>'Expenses (5)'!Print_Area</vt:lpstr>
      <vt:lpstr>'Expenses (6)'!Print_Area</vt:lpstr>
      <vt:lpstr>Summary!Print_Area</vt:lpstr>
      <vt:lpstr>Expenses!Print_Titles</vt:lpstr>
      <vt:lpstr>'Expenses (2)'!Print_Titles</vt:lpstr>
      <vt:lpstr>'Expenses (3)'!Print_Titles</vt:lpstr>
      <vt:lpstr>'Expenses (4)'!Print_Titles</vt:lpstr>
      <vt:lpstr>'Expenses (5)'!Print_Titles</vt:lpstr>
      <vt:lpstr>'Expenses (6)'!Print_Titles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Expenses spreadsheet</dc:title>
  <dc:creator>GSS Edinburgh</dc:creator>
  <cp:lastModifiedBy>Kevin Breen</cp:lastModifiedBy>
  <cp:lastPrinted>2025-06-03T13:54:48Z</cp:lastPrinted>
  <dcterms:created xsi:type="dcterms:W3CDTF">1998-10-23T00:33:10Z</dcterms:created>
  <dcterms:modified xsi:type="dcterms:W3CDTF">2026-05-28T18:53:31Z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-995752644</vt:i4>
  </property>
  <property fmtid="{D5CDD505-2E9C-101B-9397-08002B2CF9AE}" pid="3" name="_NewReviewCycle">
    <vt:lpwstr/>
  </property>
  <property fmtid="{D5CDD505-2E9C-101B-9397-08002B2CF9AE}" pid="4" name="_EmailSubject">
    <vt:lpwstr>Employee Expense Reclaim Guidelines - Amundi Ireland</vt:lpwstr>
  </property>
  <property fmtid="{D5CDD505-2E9C-101B-9397-08002B2CF9AE}" pid="5" name="_AuthorEmail">
    <vt:lpwstr>Gus.Carbery@amundi.com</vt:lpwstr>
  </property>
  <property fmtid="{D5CDD505-2E9C-101B-9397-08002B2CF9AE}" pid="6" name="_AuthorEmailDisplayName">
    <vt:lpwstr>Carbery Gus (AMUNDI.IRL)</vt:lpwstr>
  </property>
  <property fmtid="{D5CDD505-2E9C-101B-9397-08002B2CF9AE}" pid="7" name="_PreviousAdHocReviewCycleID">
    <vt:i4>621358008</vt:i4>
  </property>
  <property fmtid="{D5CDD505-2E9C-101B-9397-08002B2CF9AE}" pid="8" name="_ReviewingToolsShownOnce">
    <vt:lpwstr/>
  </property>
  <property fmtid="{D5CDD505-2E9C-101B-9397-08002B2CF9AE}" pid="9" name="MSIP_Label_b883b941-8ea7-4241-901e-c2d3d23093c7_Enabled">
    <vt:lpwstr>true</vt:lpwstr>
  </property>
  <property fmtid="{D5CDD505-2E9C-101B-9397-08002B2CF9AE}" pid="10" name="MSIP_Label_b883b941-8ea7-4241-901e-c2d3d23093c7_SetDate">
    <vt:lpwstr>2026-05-26T15:28:37Z</vt:lpwstr>
  </property>
  <property fmtid="{D5CDD505-2E9C-101B-9397-08002B2CF9AE}" pid="11" name="MSIP_Label_b883b941-8ea7-4241-901e-c2d3d23093c7_Method">
    <vt:lpwstr>Privileged</vt:lpwstr>
  </property>
  <property fmtid="{D5CDD505-2E9C-101B-9397-08002B2CF9AE}" pid="12" name="MSIP_Label_b883b941-8ea7-4241-901e-c2d3d23093c7_Name">
    <vt:lpwstr>C1</vt:lpwstr>
  </property>
  <property fmtid="{D5CDD505-2E9C-101B-9397-08002B2CF9AE}" pid="13" name="MSIP_Label_b883b941-8ea7-4241-901e-c2d3d23093c7_SiteId">
    <vt:lpwstr>a5c34232-eadc-4609-bff3-dd6fcdae3fe2</vt:lpwstr>
  </property>
  <property fmtid="{D5CDD505-2E9C-101B-9397-08002B2CF9AE}" pid="14" name="MSIP_Label_b883b941-8ea7-4241-901e-c2d3d23093c7_ActionId">
    <vt:lpwstr>0f4f58bc-2324-4021-87e2-98f3758aa9fb</vt:lpwstr>
  </property>
  <property fmtid="{D5CDD505-2E9C-101B-9397-08002B2CF9AE}" pid="15" name="MSIP_Label_b883b941-8ea7-4241-901e-c2d3d23093c7_ContentBits">
    <vt:lpwstr>0</vt:lpwstr>
  </property>
</Properties>
</file>